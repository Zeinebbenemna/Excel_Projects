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Data" sheetId="2" state="visible" r:id="rId4"/>
    <sheet name="Summary" sheetId="3" state="visible" r:id="rId5"/>
    <sheet name="Regions" sheetId="4" state="visible" r:id="rId6"/>
    <sheet name="Chart Data" sheetId="5" state="visible" r:id="rId7"/>
    <sheet name="Region Lookup" sheetId="6" state="visible" r:id="rId8"/>
  </sheets>
  <definedNames>
    <definedName function="false" hidden="true" localSheetId="1" name="_xlnm._FilterDatabase" vbProcedure="false">Data!$A$1:$AB$463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<sst xmlns="http://schemas.openxmlformats.org/spreadsheetml/2006/main" count="1118" uniqueCount="376">
  <si>
    <t xml:space="preserve">Access to Drinking Water – Transforming the Data (2000–2020)</t>
  </si>
  <si>
    <t xml:space="preserve">ALX Africa Data Analytics program · Data: WHO/UNICEF Joint Monitoring Programme (JMP), estimates 2000–2020</t>
  </si>
  <si>
    <t xml:space="preserve">Objective</t>
  </si>
  <si>
    <t xml:space="preserve">Measure whether access to basic drinking water is improving or declining, and where: national vs rural vs urban populations, and by world region (SDG 6).</t>
  </si>
  <si>
    <t xml:space="preserve">Sheets</t>
  </si>
  <si>
    <t xml:space="preserve">Data</t>
  </si>
  <si>
    <t xml:space="preserve">Two records per country (earliest and latest year) with calculated features.</t>
  </si>
  <si>
    <t xml:space="preserve">Summary</t>
  </si>
  <si>
    <t xml:space="preserve">Year coverage, ARC statistics, change in access by area, rural vs urban ARC difference.</t>
  </si>
  <si>
    <t xml:space="preserve">Regions</t>
  </si>
  <si>
    <t xml:space="preserve">Averages and full-access counts per region, plus charts.</t>
  </si>
  <si>
    <t xml:space="preserve">Chart Data</t>
  </si>
  <si>
    <t xml:space="preserve">Linked values feeding the bubble chart.</t>
  </si>
  <si>
    <t xml:space="preserve">Region Lookup</t>
  </si>
  <si>
    <t xml:space="preserve">Country → region reference table (imported Regions.csv).</t>
  </si>
  <si>
    <t xml:space="preserve">Annual Rate of Change (ARC)</t>
  </si>
  <si>
    <t xml:space="preserve">ARC = (access in latest year − access in earliest year) ÷ (number of years between them). Expressed in percentage points per year.</t>
  </si>
  <si>
    <t xml:space="preserve">Cleaning &amp; corrections</t>
  </si>
  <si>
    <t xml:space="preserve">• Converted numbers stored as text (1,400+ cells) into real numbers.</t>
  </si>
  <si>
    <t xml:space="preserve">• Replaced the text "null" with empty cells, so statistics ignore missing values instead of failing.</t>
  </si>
  <si>
    <t xml:space="preserve">• Zimbabwe: population written with spaces ("13 815") converted to numbers; urban surface water "&lt;1" set to 0.5.</t>
  </si>
  <si>
    <t xml:space="preserve">• ARC difference now keeps its sign (rural − urban) instead of an absolute value, so the histogram shows which area improved faster, and it no longer returns errors.</t>
  </si>
  <si>
    <t xml:space="preserve">• Region lookup uses INDEX/MATCH, which works in Excel and Google Sheets.</t>
  </si>
  <si>
    <t xml:space="preserve">Column dictionary</t>
  </si>
  <si>
    <t xml:space="preserve">Column</t>
  </si>
  <si>
    <t xml:space="preserve">Original field / how it is calculated</t>
  </si>
  <si>
    <t xml:space="preserve">Country</t>
  </si>
  <si>
    <t xml:space="preserve">Original JMP field: name</t>
  </si>
  <si>
    <t xml:space="preserve">Region</t>
  </si>
  <si>
    <t xml:space="preserve">Original JMP field: (from Regions.csv)</t>
  </si>
  <si>
    <t xml:space="preserve">Year</t>
  </si>
  <si>
    <t xml:space="preserve">Original JMP field: year</t>
  </si>
  <si>
    <t xml:space="preserve">Population (thousands)</t>
  </si>
  <si>
    <t xml:space="preserve">Original JMP field: pop_n</t>
  </si>
  <si>
    <t xml:space="preserve">Urban population (%)</t>
  </si>
  <si>
    <t xml:space="preserve">Original JMP field: pop_u</t>
  </si>
  <si>
    <t xml:space="preserve">Basic – national (%)</t>
  </si>
  <si>
    <t xml:space="preserve">Original JMP field: wat_bas_n</t>
  </si>
  <si>
    <t xml:space="preserve">Limited – national (%)</t>
  </si>
  <si>
    <t xml:space="preserve">Original JMP field: wat_lim_n</t>
  </si>
  <si>
    <t xml:space="preserve">Unimproved – national (%)</t>
  </si>
  <si>
    <t xml:space="preserve">Original JMP field: wat_unimp_n</t>
  </si>
  <si>
    <t xml:space="preserve">Surface water – national (%)</t>
  </si>
  <si>
    <t xml:space="preserve">Original JMP field: wat_sur_n</t>
  </si>
  <si>
    <t xml:space="preserve">Basic – rural (%)</t>
  </si>
  <si>
    <t xml:space="preserve">Original JMP field: wat_bas_r</t>
  </si>
  <si>
    <t xml:space="preserve">Limited – rural (%)</t>
  </si>
  <si>
    <t xml:space="preserve">Original JMP field: wat_lim_r</t>
  </si>
  <si>
    <t xml:space="preserve">Unimproved – rural (%)</t>
  </si>
  <si>
    <t xml:space="preserve">Original JMP field: wat_unimp_r</t>
  </si>
  <si>
    <t xml:space="preserve">Surface water – rural (%)</t>
  </si>
  <si>
    <t xml:space="preserve">Original JMP field: wat_sur_r</t>
  </si>
  <si>
    <t xml:space="preserve">Basic – urban (%)</t>
  </si>
  <si>
    <t xml:space="preserve">Original JMP field: wat_bas_u</t>
  </si>
  <si>
    <t xml:space="preserve">Limited – urban (%)</t>
  </si>
  <si>
    <t xml:space="preserve">Original JMP field: wat_lim_u</t>
  </si>
  <si>
    <t xml:space="preserve">Unimproved – urban (%)</t>
  </si>
  <si>
    <t xml:space="preserve">Original JMP field: wat_unimp_u</t>
  </si>
  <si>
    <t xml:space="preserve">Surface water – urban (%)</t>
  </si>
  <si>
    <t xml:space="preserve">Original JMP field: wat_sur_u</t>
  </si>
  <si>
    <t xml:space="preserve">Year difference</t>
  </si>
  <si>
    <t xml:space="preserve">y_diff: latest year − earliest year (same country)</t>
  </si>
  <si>
    <t xml:space="preserve">ARC – national</t>
  </si>
  <si>
    <t xml:space="preserve">ARC_n: change in Basic – national ÷ year difference</t>
  </si>
  <si>
    <t xml:space="preserve">ARC – rural</t>
  </si>
  <si>
    <t xml:space="preserve">ARC_r: change in Basic – rural ÷ year difference</t>
  </si>
  <si>
    <t xml:space="preserve">ARC – urban</t>
  </si>
  <si>
    <t xml:space="preserve">ARC_u: change in Basic – urban ÷ year difference</t>
  </si>
  <si>
    <t xml:space="preserve">Basic – national (rounded)</t>
  </si>
  <si>
    <t xml:space="preserve">wat_bas_n rounded to 0 decimals</t>
  </si>
  <si>
    <t xml:space="preserve">Basic – rural (rounded)</t>
  </si>
  <si>
    <t xml:space="preserve">wat_bas_r rounded to 0 decimals</t>
  </si>
  <si>
    <t xml:space="preserve">Basic – urban (rounded)</t>
  </si>
  <si>
    <t xml:space="preserve">wat_bas_u rounded to 0 decimals</t>
  </si>
  <si>
    <t xml:space="preserve">Full access – national</t>
  </si>
  <si>
    <t xml:space="preserve">ARC_n_full: "full access" if rounded national access = 100% in both years</t>
  </si>
  <si>
    <t xml:space="preserve">Full access – rural</t>
  </si>
  <si>
    <t xml:space="preserve">ARC_r_full: same for rural</t>
  </si>
  <si>
    <t xml:space="preserve">Full access – urban</t>
  </si>
  <si>
    <t xml:space="preserve">ARC_u_full: same for urban</t>
  </si>
  <si>
    <t xml:space="preserve">ARC difference (rural − urban)</t>
  </si>
  <si>
    <t xml:space="preserve">ARC_diff: ARC – rural − ARC – urban</t>
  </si>
  <si>
    <t xml:space="preserve">"Basic" = share of people with at least basic service (improved source, ≤ 30 min round trip).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</si>
  <si>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</si>
  <si>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</si>
  <si>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</si>
  <si>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</si>
  <si>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</si>
  <si>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</si>
  <si>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</si>
  <si>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</si>
  <si>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</si>
  <si>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</si>
  <si>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</si>
  <si>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</si>
  <si>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</si>
  <si>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</si>
  <si>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</si>
  <si>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</si>
  <si>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</si>
  <si>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</si>
  <si>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</si>
  <si>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</si>
  <si>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</si>
  <si>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</si>
  <si>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</si>
  <si>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</si>
  <si>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 (Plurinational State of)</t>
  </si>
  <si>
    <t xml:space="preserve">Bosnia and Herzegovina</t>
  </si>
  <si>
    <t xml:space="preserve">Botswana</t>
  </si>
  <si>
    <t xml:space="preserve">Brazil</t>
  </si>
  <si>
    <t xml:space="preserve">British Virgin Islands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</si>
  <si>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</si>
  <si>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</si>
  <si>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</si>
  <si>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</si>
  <si>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Cabo Verde</t>
  </si>
  <si>
    <t xml:space="preserve">Cambodia</t>
  </si>
  <si>
    <t xml:space="preserve">Cameroon</t>
  </si>
  <si>
    <t xml:space="preserve">Canada</t>
  </si>
  <si>
    <t xml:space="preserve">Cayman Islands</t>
  </si>
  <si>
    <t xml:space="preserve">Central African Republic</t>
  </si>
  <si>
    <t xml:space="preserve">Chad</t>
  </si>
  <si>
    <t xml:space="preserve">Channel Islands</t>
  </si>
  <si>
    <t xml:space="preserve">Chile</t>
  </si>
  <si>
    <t xml:space="preserve">China</t>
  </si>
  <si>
    <t xml:space="preserve">China, Hong Kong SAR</t>
  </si>
  <si>
    <t xml:space="preserve">China, Macao SAR</t>
  </si>
  <si>
    <t xml:space="preserve">Colombia</t>
  </si>
  <si>
    <t xml:space="preserve">Comoros</t>
  </si>
  <si>
    <t xml:space="preserve">Congo</t>
  </si>
  <si>
    <t xml:space="preserve">Cook Islands</t>
  </si>
  <si>
    <t xml:space="preserve">Costa Rica</t>
  </si>
  <si>
    <t xml:space="preserve">Côte d'Ivoire</t>
  </si>
  <si>
    <t xml:space="preserve">Croatia</t>
  </si>
  <si>
    <t xml:space="preserve">Cuba</t>
  </si>
  <si>
    <t xml:space="preserve">Curaçao</t>
  </si>
  <si>
    <t xml:space="preserve">Cyprus</t>
  </si>
  <si>
    <t xml:space="preserve">Czech Republic</t>
  </si>
  <si>
    <t xml:space="preserve">Democratic People's Republic of Korea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</si>
  <si>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</si>
  <si>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</si>
  <si>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</si>
  <si>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</si>
  <si>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</si>
  <si>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</si>
  <si>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</si>
  <si>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</si>
  <si>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</si>
  <si>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</si>
  <si>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</si>
  <si>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Eswatini</t>
  </si>
  <si>
    <t xml:space="preserve">Ethiopia</t>
  </si>
  <si>
    <t xml:space="preserve">Faeroe Islands</t>
  </si>
  <si>
    <t xml:space="preserve">Falkland Islands (Malvinas)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</si>
  <si>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</si>
  <si>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</si>
  <si>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</si>
  <si>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</si>
  <si>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</si>
  <si>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</si>
  <si>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</si>
  <si>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</si>
  <si>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</si>
  <si>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</si>
  <si>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</si>
  <si>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</si>
  <si>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</si>
  <si>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</si>
  <si>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</si>
  <si>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</si>
  <si>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</si>
  <si>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</si>
  <si>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</si>
  <si>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</si>
  <si>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</si>
  <si>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</si>
  <si>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</si>
  <si>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</si>
  <si>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</si>
  <si>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</si>
  <si>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 (Islamic Republic of)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</si>
  <si>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</si>
  <si>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</si>
  <si>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</si>
  <si>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</si>
  <si>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</si>
  <si>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</si>
  <si>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</si>
  <si>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</si>
  <si>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</si>
  <si>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</si>
  <si>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</si>
  <si>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Kuwait</t>
  </si>
  <si>
    <t xml:space="preserve">Kyrgyzstan</t>
  </si>
  <si>
    <t xml:space="preserve">Lao People's Democratic Republic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</si>
  <si>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</si>
  <si>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</si>
  <si>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</si>
  <si>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</si>
  <si>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</si>
  <si>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</si>
  <si>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</si>
  <si>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</si>
  <si>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</si>
  <si>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</si>
  <si>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</si>
  <si>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</si>
  <si>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</si>
  <si>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</si>
  <si>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</si>
  <si>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</si>
  <si>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</si>
  <si>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</si>
  <si>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</si>
  <si>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</si>
  <si>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 (Federated States of)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</si>
  <si>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</si>
  <si>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</si>
  <si>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</si>
  <si>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</si>
  <si>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</si>
  <si>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</si>
  <si>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</si>
  <si>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</si>
  <si>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</si>
  <si>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</si>
  <si>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</si>
  <si>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</si>
  <si>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</si>
  <si>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</si>
  <si>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</si>
  <si>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</si>
  <si>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</si>
  <si>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</si>
  <si>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</si>
  <si>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</si>
  <si>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</si>
  <si>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</si>
  <si>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</si>
  <si>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</si>
  <si>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</si>
  <si>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</si>
  <si>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</si>
  <si>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</si>
  <si>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</si>
  <si>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</si>
  <si>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</si>
  <si>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</si>
  <si>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Korea</t>
  </si>
  <si>
    <t xml:space="preserve">Republic of Moldova</t>
  </si>
  <si>
    <t xml:space="preserve">Réunion</t>
  </si>
  <si>
    <t xml:space="preserve">Romania</t>
  </si>
  <si>
    <t xml:space="preserve">Russian Federation</t>
  </si>
  <si>
    <t xml:space="preserve">Rwanda</t>
  </si>
  <si>
    <t xml:space="preserve">Saint Barthelemy</t>
  </si>
  <si>
    <t xml:space="preserve">Saint Helena</t>
  </si>
  <si>
    <t xml:space="preserve">Saint Kitts and Nevis</t>
  </si>
  <si>
    <t xml:space="preserve">Saint Lucia</t>
  </si>
  <si>
    <t xml:space="preserve">Saint Martin (French part)</t>
  </si>
  <si>
    <t xml:space="preserve">Saint Pierre and Miquelon</t>
  </si>
  <si>
    <t xml:space="preserve">Saint Vincent and the Grenadines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</si>
  <si>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</si>
  <si>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</si>
  <si>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</si>
  <si>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</si>
  <si>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</si>
  <si>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</si>
  <si>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</si>
  <si>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</si>
  <si>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</si>
  <si>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 (Dutch part)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</si>
  <si>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</si>
  <si>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</si>
  <si>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</si>
  <si>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</si>
  <si>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</si>
  <si>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</si>
  <si>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</si>
  <si>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</si>
  <si>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</si>
  <si>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</si>
  <si>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</si>
  <si>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</si>
  <si>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Syrian Arab Republic</t>
  </si>
  <si>
    <t xml:space="preserve">Tajikistan</t>
  </si>
  <si>
    <t xml:space="preserve">Thailand</t>
  </si>
  <si>
    <t xml:space="preserve">Timor-Leste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</si>
  <si>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</si>
  <si>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</si>
  <si>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</si>
  <si>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</si>
  <si>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</si>
  <si>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</si>
  <si>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</si>
  <si>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</si>
  <si>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</si>
  <si>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</si>
  <si>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</si>
  <si>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</si>
  <si>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</si>
  <si>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Republic of Tanzania</t>
  </si>
  <si>
    <t xml:space="preserve">United States of America</t>
  </si>
  <si>
    <t xml:space="preserve">United States Virgin Islands</t>
  </si>
  <si>
    <t xml:space="preserve">Uruguay</t>
  </si>
  <si>
    <t xml:space="preserve">Uzbekistan</t>
  </si>
  <si>
    <t xml:space="preserve">Vanuatu</t>
  </si>
  <si>
    <t xml:space="preserve">Venezuela (Bolivarian Republic of)</t>
  </si>
  <si>
    <t xml:space="preserve">Viet Nam</t>
  </si>
  <si>
    <t xml:space="preserve">Wallis and Futuna Islands</t>
  </si>
  <si>
    <t xml:space="preserve">West Bank and Gaza Strip</t>
  </si>
  <si>
    <t xml:space="preserve">Yemen</t>
  </si>
  <si>
    <t xml:space="preserve">Zambia</t>
  </si>
  <si>
    <t xml:space="preserve">Zimbabwe</t>
  </si>
  <si>
    <t xml:space="preserve">Global 2000–2020 Report</t>
  </si>
  <si>
    <t xml:space="preserve">Annual Rate of Change (ARC) = yearly change in access to basic water, in percentage points.</t>
  </si>
  <si>
    <t xml:space="preserve">1. Years covered</t>
  </si>
  <si>
    <t xml:space="preserve">Records</t>
  </si>
  <si>
    <t xml:space="preserve">Countries</t>
  </si>
  <si>
    <t xml:space="preserve">2015</t>
  </si>
  <si>
    <t xml:space="preserve">First year</t>
  </si>
  <si>
    <t xml:space="preserve">2016</t>
  </si>
  <si>
    <t xml:space="preserve">Last year</t>
  </si>
  <si>
    <t xml:space="preserve">2017</t>
  </si>
  <si>
    <t xml:space="preserve">Average gap between records (years)</t>
  </si>
  <si>
    <t xml:space="preserve">2018</t>
  </si>
  <si>
    <t xml:space="preserve">Median gap (years)</t>
  </si>
  <si>
    <t xml:space="preserve">2019</t>
  </si>
  <si>
    <t xml:space="preserve">Shortest gap (years)</t>
  </si>
  <si>
    <t xml:space="preserve">2020</t>
  </si>
  <si>
    <t xml:space="preserve">Longest gap (years)</t>
  </si>
  <si>
    <t xml:space="preserve">2. Annual Rates of Change (percentage points per year)</t>
  </si>
  <si>
    <t xml:space="preserve">Area</t>
  </si>
  <si>
    <t xml:space="preserve">Countries with ARC</t>
  </si>
  <si>
    <t xml:space="preserve">No ARC value</t>
  </si>
  <si>
    <t xml:space="preserve">Mean</t>
  </si>
  <si>
    <t xml:space="preserve">Median</t>
  </si>
  <si>
    <t xml:space="preserve">Min</t>
  </si>
  <si>
    <t xml:space="preserve">Max</t>
  </si>
  <si>
    <t xml:space="preserve">National</t>
  </si>
  <si>
    <t xml:space="preserve">Rural</t>
  </si>
  <si>
    <t xml:space="preserve">Urban</t>
  </si>
  <si>
    <t xml:space="preserve">3. Change in access by area (number of countries)</t>
  </si>
  <si>
    <t xml:space="preserve">Full access (both years)</t>
  </si>
  <si>
    <t xml:space="preserve">No change (ARC = 0)</t>
  </si>
  <si>
    <t xml:space="preserve">Decrease (ARC &lt; 0)</t>
  </si>
  <si>
    <t xml:space="preserve">Increase (ARC &gt; 0)</t>
  </si>
  <si>
    <t xml:space="preserve">Total</t>
  </si>
  <si>
    <t xml:space="preserve">Check</t>
  </si>
  <si>
    <t xml:space="preserve">4. Rural vs urban ARC difference (rural − urban, points per year)</t>
  </si>
  <si>
    <t xml:space="preserve">Measure</t>
  </si>
  <si>
    <t xml:space="preserve">Value</t>
  </si>
  <si>
    <t xml:space="preserve">From</t>
  </si>
  <si>
    <t xml:space="preserve">To</t>
  </si>
  <si>
    <t xml:space="preserve">Countries with both ARCs</t>
  </si>
  <si>
    <t xml:space="preserve">Mean difference</t>
  </si>
  <si>
    <t xml:space="preserve">Countries where rural improved faster</t>
  </si>
  <si>
    <t xml:space="preserve">Countries where urban improved faster</t>
  </si>
  <si>
    <t xml:space="preserve">Largest gap in favour of rural</t>
  </si>
  <si>
    <t xml:space="preserve">Largest gap in favour of urban</t>
  </si>
  <si>
    <t xml:space="preserve">Access to Water by Region – 2000–2020</t>
  </si>
  <si>
    <t xml:space="preserve">Average Annual Rates of Change per region (points per year). Population = latest year, in millions.</t>
  </si>
  <si>
    <t xml:space="preserve">Population (millions)</t>
  </si>
  <si>
    <t xml:space="preserve">Avg ARC – national</t>
  </si>
  <si>
    <t xml:space="preserve">Avg ARC – rural</t>
  </si>
  <si>
    <t xml:space="preserve">Avg ARC – urban</t>
  </si>
  <si>
    <t xml:space="preserve">East Asia &amp; Pacific</t>
  </si>
  <si>
    <t xml:space="preserve">Europe &amp; Central Asia</t>
  </si>
  <si>
    <t xml:space="preserve">Latin America &amp; Caribbean</t>
  </si>
  <si>
    <t xml:space="preserve">Middle East &amp; North Africa</t>
  </si>
  <si>
    <t xml:space="preserve">North America</t>
  </si>
  <si>
    <t xml:space="preserve">South Asia</t>
  </si>
  <si>
    <t xml:space="preserve">Sub-Saharan Africa</t>
  </si>
  <si>
    <t xml:space="preserve">All regions</t>
  </si>
  <si>
    <t xml:space="preserve">Data for the bubble chart (one row per country with both ARCs; values linked to the Data sheet)</t>
  </si>
  <si>
    <t xml:space="preserve">United States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</si>
</sst>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0.0"/>
    <numFmt numFmtId="167" formatCode="0"/>
    <numFmt numFmtId="168" formatCode="0.00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5A5A5"/>
      <rgbColor rgb="FF993366"/>
      <rgbColor rgb="FFF2F2F2"/>
      <rgbColor rgb="FFDCE6F1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5B9BD5"/>
      <rgbColor rgb="FF99CC00"/>
      <rgbColor rgb="FFFFC000"/>
      <rgbColor rgb="FFFF9900"/>
      <rgbColor rgb="FFED7D31"/>
      <rgbColor rgb="FF59595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Records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Summary!E4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Summary!$D$5:$D$10</c:f>
              <c:strCache>
                <c:ptCount val="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</c:strCache>
            </c:strRef>
          </c:cat>
          <c:val>
            <c:numRef>
              <c:f>Summary!$E$5:$E$10</c:f>
              <c:numCache>
                <c:formatCode>General</c:formatCode>
                <c:ptCount val="6"/>
                <c:pt idx="0">
                  <c:v>231</c:v>
                </c:pt>
                <c:pt idx="1">
                  <c:v>3</c:v>
                </c:pt>
                <c:pt idx="2">
                  <c:v>9</c:v>
                </c:pt>
                <c:pt idx="3">
                  <c:v>2</c:v>
                </c:pt>
                <c:pt idx="4">
                  <c:v>4</c:v>
                </c:pt>
                <c:pt idx="5">
                  <c:v>213</c:v>
                </c:pt>
              </c:numCache>
            </c:numRef>
          </c:val>
        </c:ser>
        <c:gapWidth val="30"/>
        <c:overlap val="0"/>
        <c:axId val="62552242"/>
        <c:axId val="68654452"/>
      </c:barChart>
      <c:catAx>
        <c:axId val="625522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654452"/>
        <c:crosses val="autoZero"/>
        <c:auto val="1"/>
        <c:lblAlgn val="ctr"/>
        <c:lblOffset val="100"/>
        <c:noMultiLvlLbl val="0"/>
      </c:catAx>
      <c:valAx>
        <c:axId val="686544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522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ARC difference (rural − urban)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Summary!G33</c:f>
              <c:strCache>
                <c:ptCount val="1"/>
                <c:pt idx="0">
                  <c:v>Countries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Summary!$H$34:$H$45</c:f>
              <c:strCache>
                <c:ptCount val="12"/>
                <c:pt idx="0">
                  <c:v>-3.0 to -2.5</c:v>
                </c:pt>
                <c:pt idx="1">
                  <c:v>-2.5 to -2.0</c:v>
                </c:pt>
                <c:pt idx="2">
                  <c:v>-2.0 to -1.5</c:v>
                </c:pt>
                <c:pt idx="3">
                  <c:v>-1.5 to -1.0</c:v>
                </c:pt>
                <c:pt idx="4">
                  <c:v>-1.0 to -0.5</c:v>
                </c:pt>
                <c:pt idx="5">
                  <c:v>-0.5 to 0.0</c:v>
                </c:pt>
                <c:pt idx="6">
                  <c:v>0.0 to 0.5</c:v>
                </c:pt>
                <c:pt idx="7">
                  <c:v>0.5 to 1.0</c:v>
                </c:pt>
                <c:pt idx="8">
                  <c:v>1.0 to 1.5</c:v>
                </c:pt>
                <c:pt idx="9">
                  <c:v>1.5 to 2.0</c:v>
                </c:pt>
                <c:pt idx="10">
                  <c:v>2.0 to 2.5</c:v>
                </c:pt>
                <c:pt idx="11">
                  <c:v>2.5 to 3.0</c:v>
                </c:pt>
              </c:strCache>
            </c:strRef>
          </c:cat>
          <c:val>
            <c:numRef>
              <c:f>Summary!$G$34:$G$45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18</c:v>
                </c:pt>
                <c:pt idx="6">
                  <c:v>89</c:v>
                </c:pt>
                <c:pt idx="7">
                  <c:v>35</c:v>
                </c:pt>
                <c:pt idx="8">
                  <c:v>14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</c:ser>
        <c:gapWidth val="5"/>
        <c:overlap val="0"/>
        <c:axId val="68020339"/>
        <c:axId val="15398704"/>
      </c:barChart>
      <c:catAx>
        <c:axId val="680203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98704"/>
        <c:crosses val="autoZero"/>
        <c:auto val="1"/>
        <c:lblAlgn val="ctr"/>
        <c:lblOffset val="100"/>
        <c:noMultiLvlLbl val="0"/>
      </c:catAx>
      <c:valAx>
        <c:axId val="15398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0203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national ARC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Regions!D4</c:f>
              <c:strCache>
                <c:ptCount val="1"/>
                <c:pt idx="0">
                  <c:v>Avg ARC – national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Regions!$A$5:$A$11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North Africa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Regions!$D$5:$D$11</c:f>
              <c:numCache>
                <c:formatCode>0.00</c:formatCode>
                <c:ptCount val="7"/>
                <c:pt idx="0">
                  <c:v>0.2784349021875</c:v>
                </c:pt>
                <c:pt idx="1">
                  <c:v>0.111685780698413</c:v>
                </c:pt>
                <c:pt idx="2">
                  <c:v>0.144424853489362</c:v>
                </c:pt>
                <c:pt idx="3">
                  <c:v>0.3455630234</c:v>
                </c:pt>
                <c:pt idx="4">
                  <c:v>0.0171583956000001</c:v>
                </c:pt>
                <c:pt idx="5">
                  <c:v>0.480230400181818</c:v>
                </c:pt>
                <c:pt idx="6">
                  <c:v>0.559369392443396</c:v>
                </c:pt>
              </c:numCache>
            </c:numRef>
          </c:val>
        </c:ser>
        <c:gapWidth val="150"/>
        <c:overlap val="0"/>
        <c:axId val="33974929"/>
        <c:axId val="23766883"/>
      </c:barChart>
      <c:catAx>
        <c:axId val="339749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766883"/>
        <c:crosses val="autoZero"/>
        <c:auto val="1"/>
        <c:lblAlgn val="ctr"/>
        <c:lblOffset val="100"/>
        <c:noMultiLvlLbl val="0"/>
      </c:catAx>
      <c:valAx>
        <c:axId val="23766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Points per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749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National vs rural ARC by region (bubble size = population)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"East Asia &amp; Pacific"</c:f>
              <c:strCache>
                <c:ptCount val="1"/>
                <c:pt idx="0">
                  <c:v>East Asia &amp; Pacific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Data'!$C$3:$C$26</c:f>
              <c:numCache>
                <c:formatCode>0.00</c:formatCode>
                <c:ptCount val="24"/>
                <c:pt idx="0">
                  <c:v>-3.87700000004543E-005</c:v>
                </c:pt>
                <c:pt idx="1">
                  <c:v>0.555207202</c:v>
                </c:pt>
                <c:pt idx="2">
                  <c:v>0.499693872</c:v>
                </c:pt>
                <c:pt idx="3">
                  <c:v>-0.274207736</c:v>
                </c:pt>
                <c:pt idx="4">
                  <c:v>0.00770131399999912</c:v>
                </c:pt>
                <c:pt idx="5">
                  <c:v>0.777599330000001</c:v>
                </c:pt>
                <c:pt idx="6">
                  <c:v>0.824564852</c:v>
                </c:pt>
                <c:pt idx="7">
                  <c:v>1.551834194</c:v>
                </c:pt>
                <c:pt idx="8">
                  <c:v>0.0459046720000004</c:v>
                </c:pt>
                <c:pt idx="9">
                  <c:v>0.936522636000001</c:v>
                </c:pt>
                <c:pt idx="10">
                  <c:v>2.026144282</c:v>
                </c:pt>
                <c:pt idx="11">
                  <c:v>7.89999998573876E-007</c:v>
                </c:pt>
                <c:pt idx="12">
                  <c:v>0.00547892999999817</c:v>
                </c:pt>
                <c:pt idx="13">
                  <c:v>0.771701816000001</c:v>
                </c:pt>
                <c:pt idx="14">
                  <c:v>0.103265438</c:v>
                </c:pt>
                <c:pt idx="15">
                  <c:v>-0.405778670000001</c:v>
                </c:pt>
                <c:pt idx="16">
                  <c:v>0.148165883999999</c:v>
                </c:pt>
                <c:pt idx="17">
                  <c:v>2.049099498</c:v>
                </c:pt>
                <c:pt idx="18">
                  <c:v>0.0500561299999987</c:v>
                </c:pt>
                <c:pt idx="19">
                  <c:v>0.036275096</c:v>
                </c:pt>
                <c:pt idx="20">
                  <c:v>0</c:v>
                </c:pt>
                <c:pt idx="21">
                  <c:v>0.248602851999999</c:v>
                </c:pt>
                <c:pt idx="22">
                  <c:v>0.711259258000001</c:v>
                </c:pt>
                <c:pt idx="23">
                  <c:v>-0.0356188339999989</c:v>
                </c:pt>
              </c:numCache>
            </c:numRef>
          </c:xVal>
          <c:yVal>
            <c:numRef>
              <c:f>'Chart Data'!$D$3:$D$26</c:f>
              <c:numCache>
                <c:formatCode>0.00</c:formatCode>
                <c:ptCount val="24"/>
                <c:pt idx="0">
                  <c:v>0</c:v>
                </c:pt>
                <c:pt idx="1">
                  <c:v>0.47120783</c:v>
                </c:pt>
                <c:pt idx="2">
                  <c:v>1.036409118</c:v>
                </c:pt>
                <c:pt idx="3">
                  <c:v>-0.572668708000001</c:v>
                </c:pt>
                <c:pt idx="4">
                  <c:v>-0.0581006680000002</c:v>
                </c:pt>
                <c:pt idx="5">
                  <c:v>1.007434238</c:v>
                </c:pt>
                <c:pt idx="6">
                  <c:v>0.61438646</c:v>
                </c:pt>
                <c:pt idx="7">
                  <c:v>1.646654574</c:v>
                </c:pt>
                <c:pt idx="8">
                  <c:v>0.0302719999999994</c:v>
                </c:pt>
                <c:pt idx="9">
                  <c:v>1.795372626</c:v>
                </c:pt>
                <c:pt idx="10">
                  <c:v>2.23459023</c:v>
                </c:pt>
                <c:pt idx="11">
                  <c:v>0</c:v>
                </c:pt>
                <c:pt idx="12">
                  <c:v>0.0286227099999991</c:v>
                </c:pt>
                <c:pt idx="13">
                  <c:v>0.816142133999999</c:v>
                </c:pt>
                <c:pt idx="14">
                  <c:v>0.0787814440000005</c:v>
                </c:pt>
                <c:pt idx="15">
                  <c:v>-0.72137414</c:v>
                </c:pt>
                <c:pt idx="16">
                  <c:v>0.224096657999999</c:v>
                </c:pt>
                <c:pt idx="17">
                  <c:v>2.305681174</c:v>
                </c:pt>
                <c:pt idx="18">
                  <c:v>0.0500561299999987</c:v>
                </c:pt>
                <c:pt idx="19">
                  <c:v>0.0150060619999977</c:v>
                </c:pt>
                <c:pt idx="20">
                  <c:v>0</c:v>
                </c:pt>
                <c:pt idx="21">
                  <c:v>0.283830114</c:v>
                </c:pt>
                <c:pt idx="22">
                  <c:v>0.936294089999998</c:v>
                </c:pt>
                <c:pt idx="23">
                  <c:v>-0.0356188339999989</c:v>
                </c:pt>
              </c:numCache>
            </c:numRef>
          </c:yVal>
          <c:bubbleSize>
            <c:numRef>
              <c:f>'Chart Data'!$E$3:$E$26</c:f>
              <c:numCache>
                <c:formatCode>#,##0.0</c:formatCode>
                <c:ptCount val="24"/>
                <c:pt idx="0">
                  <c:v>25.49988086</c:v>
                </c:pt>
                <c:pt idx="1">
                  <c:v>16.7189707</c:v>
                </c:pt>
                <c:pt idx="2">
                  <c:v>1463.1405</c:v>
                </c:pt>
                <c:pt idx="3">
                  <c:v>25.77881445</c:v>
                </c:pt>
                <c:pt idx="4">
                  <c:v>0.8964439697</c:v>
                </c:pt>
                <c:pt idx="5">
                  <c:v>273.523625</c:v>
                </c:pt>
                <c:pt idx="6">
                  <c:v>0.1194459991</c:v>
                </c:pt>
                <c:pt idx="7">
                  <c:v>7.275556152</c:v>
                </c:pt>
                <c:pt idx="8">
                  <c:v>0.05919400024</c:v>
                </c:pt>
                <c:pt idx="9">
                  <c:v>3.278291992</c:v>
                </c:pt>
                <c:pt idx="10">
                  <c:v>54.40979297</c:v>
                </c:pt>
                <c:pt idx="11">
                  <c:v>4.82223291</c:v>
                </c:pt>
                <c:pt idx="12">
                  <c:v>0.01809199905</c:v>
                </c:pt>
                <c:pt idx="13">
                  <c:v>8.947027344</c:v>
                </c:pt>
                <c:pt idx="14">
                  <c:v>0.1984100037</c:v>
                </c:pt>
                <c:pt idx="15">
                  <c:v>0.6868779907</c:v>
                </c:pt>
                <c:pt idx="16">
                  <c:v>69.79997656</c:v>
                </c:pt>
                <c:pt idx="17">
                  <c:v>1.318442017</c:v>
                </c:pt>
                <c:pt idx="18">
                  <c:v>0.001350000024</c:v>
                </c:pt>
                <c:pt idx="19">
                  <c:v>0.1056969986</c:v>
                </c:pt>
                <c:pt idx="20">
                  <c:v>0.01179199982</c:v>
                </c:pt>
                <c:pt idx="21">
                  <c:v>0.3071499939</c:v>
                </c:pt>
                <c:pt idx="22">
                  <c:v>97.33858594</c:v>
                </c:pt>
                <c:pt idx="23">
                  <c:v>0.01124600029</c:v>
                </c:pt>
              </c:numCache>
            </c:numRef>
          </c:bubbleSize>
          <c:bubble3D val="0"/>
        </c:ser>
        <c:ser>
          <c:idx val="1"/>
          <c:order val="1"/>
          <c:tx>
            <c:strRef>
              <c:f>"Europe &amp; Central Asia"</c:f>
              <c:strCache>
                <c:ptCount val="1"/>
                <c:pt idx="0">
                  <c:v>Europe &amp; Central Asia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Data'!$C$27:$C$75</c:f>
              <c:numCache>
                <c:formatCode>0.00</c:formatCode>
                <c:ptCount val="49"/>
                <c:pt idx="0">
                  <c:v>0.334742698000002</c:v>
                </c:pt>
                <c:pt idx="1">
                  <c:v>1.22999999803142E-006</c:v>
                </c:pt>
                <c:pt idx="2">
                  <c:v>0.0837227979999995</c:v>
                </c:pt>
                <c:pt idx="3">
                  <c:v>0</c:v>
                </c:pt>
                <c:pt idx="4">
                  <c:v>0.724612429999999</c:v>
                </c:pt>
                <c:pt idx="5">
                  <c:v>0.0115317979999986</c:v>
                </c:pt>
                <c:pt idx="6">
                  <c:v>-2.49999999368811E-007</c:v>
                </c:pt>
                <c:pt idx="7">
                  <c:v>-0.00918931199999804</c:v>
                </c:pt>
                <c:pt idx="8">
                  <c:v>-0.0369820739999994</c:v>
                </c:pt>
                <c:pt idx="9">
                  <c:v>-0.00466887799999824</c:v>
                </c:pt>
                <c:pt idx="10">
                  <c:v>9.97960000006515E-005</c:v>
                </c:pt>
                <c:pt idx="11">
                  <c:v>6.50000001201079E-007</c:v>
                </c:pt>
                <c:pt idx="12">
                  <c:v>1.32800000187672E-006</c:v>
                </c:pt>
                <c:pt idx="13">
                  <c:v>-2.99999999242573E-007</c:v>
                </c:pt>
                <c:pt idx="14">
                  <c:v>0.318682038</c:v>
                </c:pt>
                <c:pt idx="15">
                  <c:v>-1.99999988126365E-008</c:v>
                </c:pt>
                <c:pt idx="16">
                  <c:v>-4.59999998270177E-007</c:v>
                </c:pt>
                <c:pt idx="17">
                  <c:v>0.00589370200000019</c:v>
                </c:pt>
                <c:pt idx="18">
                  <c:v>-1.01800000038565E-006</c:v>
                </c:pt>
                <c:pt idx="19">
                  <c:v>0.00551570400000117</c:v>
                </c:pt>
                <c:pt idx="20">
                  <c:v>-2.99999999242573E-007</c:v>
                </c:pt>
                <c:pt idx="21">
                  <c:v>0.0819271820000012</c:v>
                </c:pt>
                <c:pt idx="22">
                  <c:v>0.651508794</c:v>
                </c:pt>
                <c:pt idx="23">
                  <c:v>0.0514967740000003</c:v>
                </c:pt>
                <c:pt idx="24">
                  <c:v>0.281841732000001</c:v>
                </c:pt>
                <c:pt idx="25">
                  <c:v>-0.00904762400000152</c:v>
                </c:pt>
                <c:pt idx="26">
                  <c:v>8.00000009348878E-008</c:v>
                </c:pt>
                <c:pt idx="27">
                  <c:v>0.293124230000001</c:v>
                </c:pt>
                <c:pt idx="28">
                  <c:v>1.46000002132496E-007</c:v>
                </c:pt>
                <c:pt idx="29">
                  <c:v>0.0540965919999991</c:v>
                </c:pt>
                <c:pt idx="30">
                  <c:v>-1.14000000053238E-006</c:v>
                </c:pt>
                <c:pt idx="31">
                  <c:v>0.146904334000001</c:v>
                </c:pt>
                <c:pt idx="32">
                  <c:v>0.00146076599999958</c:v>
                </c:pt>
                <c:pt idx="33">
                  <c:v>0.398786067999998</c:v>
                </c:pt>
                <c:pt idx="34">
                  <c:v>0</c:v>
                </c:pt>
                <c:pt idx="35">
                  <c:v>0.0930785280000009</c:v>
                </c:pt>
                <c:pt idx="36">
                  <c:v>0.381814403999999</c:v>
                </c:pt>
                <c:pt idx="37">
                  <c:v>0.000101889999999116</c:v>
                </c:pt>
                <c:pt idx="38">
                  <c:v>-0.00022156999999936</c:v>
                </c:pt>
                <c:pt idx="39">
                  <c:v>0.00912731999999892</c:v>
                </c:pt>
                <c:pt idx="40">
                  <c:v>5.60000000859873E-007</c:v>
                </c:pt>
                <c:pt idx="41">
                  <c:v>1.122583902</c:v>
                </c:pt>
                <c:pt idx="42">
                  <c:v>0.151622007999998</c:v>
                </c:pt>
                <c:pt idx="43">
                  <c:v>0.468211138000001</c:v>
                </c:pt>
                <c:pt idx="44">
                  <c:v>0.0542750519999998</c:v>
                </c:pt>
                <c:pt idx="45">
                  <c:v>-5.88000000334432E-007</c:v>
                </c:pt>
                <c:pt idx="46">
                  <c:v>0.0600413180000004</c:v>
                </c:pt>
                <c:pt idx="47">
                  <c:v>0.300108102000002</c:v>
                </c:pt>
                <c:pt idx="48">
                  <c:v>0.976940242000001</c:v>
                </c:pt>
              </c:numCache>
            </c:numRef>
          </c:xVal>
          <c:yVal>
            <c:numRef>
              <c:f>'Chart Data'!$D$27:$D$75</c:f>
              <c:numCache>
                <c:formatCode>0.00</c:formatCode>
                <c:ptCount val="49"/>
                <c:pt idx="0">
                  <c:v>0.692816690000001</c:v>
                </c:pt>
                <c:pt idx="1">
                  <c:v>0</c:v>
                </c:pt>
                <c:pt idx="2">
                  <c:v>0.189044146000001</c:v>
                </c:pt>
                <c:pt idx="3">
                  <c:v>0</c:v>
                </c:pt>
                <c:pt idx="4">
                  <c:v>1.356516936</c:v>
                </c:pt>
                <c:pt idx="5">
                  <c:v>0.0466901419999999</c:v>
                </c:pt>
                <c:pt idx="6">
                  <c:v>0</c:v>
                </c:pt>
                <c:pt idx="7">
                  <c:v>0</c:v>
                </c:pt>
                <c:pt idx="8">
                  <c:v>-0.122970474000002</c:v>
                </c:pt>
                <c:pt idx="9">
                  <c:v>-0.00308476399999904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0.595346721999999</c:v>
                </c:pt>
                <c:pt idx="15">
                  <c:v>0</c:v>
                </c:pt>
                <c:pt idx="16">
                  <c:v>0</c:v>
                </c:pt>
                <c:pt idx="17">
                  <c:v>0.0199820560000006</c:v>
                </c:pt>
                <c:pt idx="18">
                  <c:v>0</c:v>
                </c:pt>
                <c:pt idx="19">
                  <c:v>0.0236209120000012</c:v>
                </c:pt>
                <c:pt idx="20">
                  <c:v>0</c:v>
                </c:pt>
                <c:pt idx="21">
                  <c:v>0.2383509</c:v>
                </c:pt>
                <c:pt idx="22">
                  <c:v>0.830642272</c:v>
                </c:pt>
                <c:pt idx="23">
                  <c:v>0.144900826</c:v>
                </c:pt>
                <c:pt idx="24">
                  <c:v>0.612859164</c:v>
                </c:pt>
                <c:pt idx="25">
                  <c:v>-0.128571428000001</c:v>
                </c:pt>
                <c:pt idx="26">
                  <c:v>0</c:v>
                </c:pt>
                <c:pt idx="27">
                  <c:v>0.440245071999999</c:v>
                </c:pt>
                <c:pt idx="28">
                  <c:v>0</c:v>
                </c:pt>
                <c:pt idx="29">
                  <c:v>-0.0329037119999981</c:v>
                </c:pt>
                <c:pt idx="30">
                  <c:v>0</c:v>
                </c:pt>
                <c:pt idx="31">
                  <c:v>0.292419354</c:v>
                </c:pt>
                <c:pt idx="32">
                  <c:v>0</c:v>
                </c:pt>
                <c:pt idx="33">
                  <c:v>0.587709473999999</c:v>
                </c:pt>
                <c:pt idx="34">
                  <c:v>0</c:v>
                </c:pt>
                <c:pt idx="35">
                  <c:v>0.286798590000001</c:v>
                </c:pt>
                <c:pt idx="36">
                  <c:v>0.224289140000002</c:v>
                </c:pt>
                <c:pt idx="37">
                  <c:v>0</c:v>
                </c:pt>
                <c:pt idx="38">
                  <c:v>0</c:v>
                </c:pt>
                <c:pt idx="39">
                  <c:v>0.0338776420000016</c:v>
                </c:pt>
                <c:pt idx="40">
                  <c:v>0</c:v>
                </c:pt>
                <c:pt idx="41">
                  <c:v>1.418283428</c:v>
                </c:pt>
                <c:pt idx="42">
                  <c:v>0.364257356000002</c:v>
                </c:pt>
                <c:pt idx="43">
                  <c:v>0.756043367999999</c:v>
                </c:pt>
                <c:pt idx="44">
                  <c:v>0.231377678000001</c:v>
                </c:pt>
                <c:pt idx="45">
                  <c:v>0</c:v>
                </c:pt>
                <c:pt idx="46">
                  <c:v>0.0860381619999998</c:v>
                </c:pt>
                <c:pt idx="47">
                  <c:v>0.666882813999999</c:v>
                </c:pt>
                <c:pt idx="48">
                  <c:v>1.144613242</c:v>
                </c:pt>
              </c:numCache>
            </c:numRef>
          </c:yVal>
          <c:bubbleSize>
            <c:numRef>
              <c:f>'Chart Data'!$E$27:$E$75</c:f>
              <c:numCache>
                <c:formatCode>#,##0.0</c:formatCode>
                <c:ptCount val="49"/>
                <c:pt idx="0">
                  <c:v>2.877800049</c:v>
                </c:pt>
                <c:pt idx="1">
                  <c:v>0.07726499939</c:v>
                </c:pt>
                <c:pt idx="2">
                  <c:v>2.963233887</c:v>
                </c:pt>
                <c:pt idx="3">
                  <c:v>9.006400391</c:v>
                </c:pt>
                <c:pt idx="4">
                  <c:v>10.1391748</c:v>
                </c:pt>
                <c:pt idx="5">
                  <c:v>9.449321289</c:v>
                </c:pt>
                <c:pt idx="6">
                  <c:v>11.58961621</c:v>
                </c:pt>
                <c:pt idx="7">
                  <c:v>3.280814941</c:v>
                </c:pt>
                <c:pt idx="8">
                  <c:v>6.948444824</c:v>
                </c:pt>
                <c:pt idx="9">
                  <c:v>1.207360962</c:v>
                </c:pt>
                <c:pt idx="10">
                  <c:v>10.70898242</c:v>
                </c:pt>
                <c:pt idx="11">
                  <c:v>5.792203125</c:v>
                </c:pt>
                <c:pt idx="12">
                  <c:v>5.540717773</c:v>
                </c:pt>
                <c:pt idx="13">
                  <c:v>65.27351172</c:v>
                </c:pt>
                <c:pt idx="14">
                  <c:v>3.989175049</c:v>
                </c:pt>
                <c:pt idx="15">
                  <c:v>83.78394531</c:v>
                </c:pt>
                <c:pt idx="16">
                  <c:v>10.42305566</c:v>
                </c:pt>
                <c:pt idx="17">
                  <c:v>9.660349609</c:v>
                </c:pt>
                <c:pt idx="18">
                  <c:v>0.34125</c:v>
                </c:pt>
                <c:pt idx="19">
                  <c:v>4.937795898</c:v>
                </c:pt>
                <c:pt idx="20">
                  <c:v>8.655541016</c:v>
                </c:pt>
                <c:pt idx="21">
                  <c:v>18.77670703</c:v>
                </c:pt>
                <c:pt idx="22">
                  <c:v>6.524190918</c:v>
                </c:pt>
                <c:pt idx="23">
                  <c:v>1.886202026</c:v>
                </c:pt>
                <c:pt idx="24">
                  <c:v>2.722291016</c:v>
                </c:pt>
                <c:pt idx="25">
                  <c:v>0.6259760132</c:v>
                </c:pt>
                <c:pt idx="26">
                  <c:v>0.4415390015</c:v>
                </c:pt>
                <c:pt idx="27">
                  <c:v>0.6280620117</c:v>
                </c:pt>
                <c:pt idx="28">
                  <c:v>17.13487305</c:v>
                </c:pt>
                <c:pt idx="29">
                  <c:v>2.083379883</c:v>
                </c:pt>
                <c:pt idx="30">
                  <c:v>5.421242188</c:v>
                </c:pt>
                <c:pt idx="31">
                  <c:v>37.84660547</c:v>
                </c:pt>
                <c:pt idx="32">
                  <c:v>10.19670703</c:v>
                </c:pt>
                <c:pt idx="33">
                  <c:v>4.033962891</c:v>
                </c:pt>
                <c:pt idx="34">
                  <c:v>19.23768164</c:v>
                </c:pt>
                <c:pt idx="35">
                  <c:v>145.9344531</c:v>
                </c:pt>
                <c:pt idx="36">
                  <c:v>8.737370117</c:v>
                </c:pt>
                <c:pt idx="37">
                  <c:v>5.459643066</c:v>
                </c:pt>
                <c:pt idx="38">
                  <c:v>46.75478125</c:v>
                </c:pt>
                <c:pt idx="39">
                  <c:v>10.09926953</c:v>
                </c:pt>
                <c:pt idx="40">
                  <c:v>8.654618164</c:v>
                </c:pt>
                <c:pt idx="41">
                  <c:v>9.537641602</c:v>
                </c:pt>
                <c:pt idx="42">
                  <c:v>84.33907031</c:v>
                </c:pt>
                <c:pt idx="43">
                  <c:v>6.031187012</c:v>
                </c:pt>
                <c:pt idx="44">
                  <c:v>43.73375781</c:v>
                </c:pt>
                <c:pt idx="45">
                  <c:v>67.88600781</c:v>
                </c:pt>
                <c:pt idx="46">
                  <c:v>33.46919922</c:v>
                </c:pt>
                <c:pt idx="47">
                  <c:v>5.101416016</c:v>
                </c:pt>
                <c:pt idx="48">
                  <c:v>29.82596875</c:v>
                </c:pt>
              </c:numCache>
            </c:numRef>
          </c:bubbleSize>
          <c:bubble3D val="0"/>
        </c:ser>
        <c:ser>
          <c:idx val="2"/>
          <c:order val="2"/>
          <c:tx>
            <c:strRef>
              <c:f>"Latin America &amp; Caribbean"</c:f>
              <c:strCache>
                <c:ptCount val="1"/>
                <c:pt idx="0">
                  <c:v>Latin America &amp; Caribbean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Data'!$C$76:$C$98</c:f>
              <c:numCache>
                <c:formatCode>0.00</c:formatCode>
                <c:ptCount val="23"/>
                <c:pt idx="0">
                  <c:v>0.245271930000001</c:v>
                </c:pt>
                <c:pt idx="1">
                  <c:v>0.585586124</c:v>
                </c:pt>
                <c:pt idx="2">
                  <c:v>0.303457080000001</c:v>
                </c:pt>
                <c:pt idx="3">
                  <c:v>0.0987011999999993</c:v>
                </c:pt>
                <c:pt idx="4">
                  <c:v>0.231157798000001</c:v>
                </c:pt>
                <c:pt idx="5">
                  <c:v>0.0863700219999998</c:v>
                </c:pt>
                <c:pt idx="6">
                  <c:v>0.226179937999999</c:v>
                </c:pt>
                <c:pt idx="7">
                  <c:v>0.117494683999999</c:v>
                </c:pt>
                <c:pt idx="8">
                  <c:v>0.459196812000002</c:v>
                </c:pt>
                <c:pt idx="9">
                  <c:v>0.476887533999999</c:v>
                </c:pt>
                <c:pt idx="10">
                  <c:v>0.0977841479999995</c:v>
                </c:pt>
                <c:pt idx="11">
                  <c:v>0.374478884000001</c:v>
                </c:pt>
                <c:pt idx="12">
                  <c:v>0.078589980000001</c:v>
                </c:pt>
                <c:pt idx="13">
                  <c:v>0.486962084000001</c:v>
                </c:pt>
                <c:pt idx="14">
                  <c:v>0.122629642000001</c:v>
                </c:pt>
                <c:pt idx="15">
                  <c:v>0.330824948</c:v>
                </c:pt>
                <c:pt idx="16">
                  <c:v>0.0711250519999993</c:v>
                </c:pt>
                <c:pt idx="17">
                  <c:v>0.293635750000001</c:v>
                </c:pt>
                <c:pt idx="18">
                  <c:v>0.551450359999998</c:v>
                </c:pt>
                <c:pt idx="19">
                  <c:v>0.571472634</c:v>
                </c:pt>
                <c:pt idx="20">
                  <c:v>0.263950058</c:v>
                </c:pt>
                <c:pt idx="21">
                  <c:v>0.4483879</c:v>
                </c:pt>
                <c:pt idx="22">
                  <c:v>0.072872000000001</c:v>
                </c:pt>
              </c:numCache>
            </c:numRef>
          </c:xVal>
          <c:yVal>
            <c:numRef>
              <c:f>'Chart Data'!$D$76:$D$98</c:f>
              <c:numCache>
                <c:formatCode>0.00</c:formatCode>
                <c:ptCount val="23"/>
                <c:pt idx="0">
                  <c:v>0.468275104</c:v>
                </c:pt>
                <c:pt idx="1">
                  <c:v>1.239292526</c:v>
                </c:pt>
                <c:pt idx="2">
                  <c:v>1.43784627</c:v>
                </c:pt>
                <c:pt idx="3">
                  <c:v>0.586460299999999</c:v>
                </c:pt>
                <c:pt idx="4">
                  <c:v>0.698669393999998</c:v>
                </c:pt>
                <c:pt idx="5">
                  <c:v>0.292043501999999</c:v>
                </c:pt>
                <c:pt idx="6">
                  <c:v>0.788318096000001</c:v>
                </c:pt>
                <c:pt idx="7">
                  <c:v>0.218684118000002</c:v>
                </c:pt>
                <c:pt idx="8">
                  <c:v>0.899652599999999</c:v>
                </c:pt>
                <c:pt idx="9">
                  <c:v>1.098636152</c:v>
                </c:pt>
                <c:pt idx="10">
                  <c:v>0</c:v>
                </c:pt>
                <c:pt idx="11">
                  <c:v>0.575314724</c:v>
                </c:pt>
                <c:pt idx="12">
                  <c:v>0.101144158</c:v>
                </c:pt>
                <c:pt idx="13">
                  <c:v>0.68774516</c:v>
                </c:pt>
                <c:pt idx="14">
                  <c:v>0.179840451999999</c:v>
                </c:pt>
                <c:pt idx="15">
                  <c:v>1.01007498</c:v>
                </c:pt>
                <c:pt idx="16">
                  <c:v>-0.0794422420000004</c:v>
                </c:pt>
                <c:pt idx="17">
                  <c:v>0.528700746000001</c:v>
                </c:pt>
                <c:pt idx="18">
                  <c:v>1.153305448</c:v>
                </c:pt>
                <c:pt idx="19">
                  <c:v>1.50236293</c:v>
                </c:pt>
                <c:pt idx="20">
                  <c:v>0.300352518</c:v>
                </c:pt>
                <c:pt idx="21">
                  <c:v>1.198959262</c:v>
                </c:pt>
                <c:pt idx="22">
                  <c:v>0.760997232</c:v>
                </c:pt>
              </c:numCache>
            </c:numRef>
          </c:yVal>
          <c:bubbleSize>
            <c:numRef>
              <c:f>'Chart Data'!$E$76:$E$98</c:f>
              <c:numCache>
                <c:formatCode>#,##0.0</c:formatCode>
                <c:ptCount val="23"/>
                <c:pt idx="0">
                  <c:v>0.3976210022</c:v>
                </c:pt>
                <c:pt idx="1">
                  <c:v>11.6730293</c:v>
                </c:pt>
                <c:pt idx="2">
                  <c:v>212.5594063</c:v>
                </c:pt>
                <c:pt idx="3">
                  <c:v>19.11620898</c:v>
                </c:pt>
                <c:pt idx="4">
                  <c:v>50.88288281</c:v>
                </c:pt>
                <c:pt idx="5">
                  <c:v>5.09411377</c:v>
                </c:pt>
                <c:pt idx="6">
                  <c:v>11.32661621</c:v>
                </c:pt>
                <c:pt idx="7">
                  <c:v>10.8479043</c:v>
                </c:pt>
                <c:pt idx="8">
                  <c:v>17.64306055</c:v>
                </c:pt>
                <c:pt idx="9">
                  <c:v>6.486201172</c:v>
                </c:pt>
                <c:pt idx="10">
                  <c:v>0.00348300004</c:v>
                </c:pt>
                <c:pt idx="11">
                  <c:v>17.91556641</c:v>
                </c:pt>
                <c:pt idx="12">
                  <c:v>0.786559021</c:v>
                </c:pt>
                <c:pt idx="13">
                  <c:v>9.904608398</c:v>
                </c:pt>
                <c:pt idx="14">
                  <c:v>2.961160889</c:v>
                </c:pt>
                <c:pt idx="15">
                  <c:v>128.93275</c:v>
                </c:pt>
                <c:pt idx="16">
                  <c:v>6.624554199</c:v>
                </c:pt>
                <c:pt idx="17">
                  <c:v>4.314768066</c:v>
                </c:pt>
                <c:pt idx="18">
                  <c:v>7.132529785</c:v>
                </c:pt>
                <c:pt idx="19">
                  <c:v>32.97184766</c:v>
                </c:pt>
                <c:pt idx="20">
                  <c:v>0.1836289978</c:v>
                </c:pt>
                <c:pt idx="21">
                  <c:v>0.5866339722</c:v>
                </c:pt>
                <c:pt idx="22">
                  <c:v>3.473727051</c:v>
                </c:pt>
              </c:numCache>
            </c:numRef>
          </c:bubbleSize>
          <c:bubble3D val="0"/>
        </c:ser>
        <c:ser>
          <c:idx val="3"/>
          <c:order val="3"/>
          <c:tx>
            <c:strRef>
              <c:f>"Middle East &amp; North Africa"</c:f>
              <c:strCache>
                <c:ptCount val="1"/>
                <c:pt idx="0">
                  <c:v>Middle East &amp; North Africa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Data'!$C$99:$C$106</c:f>
              <c:numCache>
                <c:formatCode>0.00</c:formatCode>
                <c:ptCount val="8"/>
                <c:pt idx="0">
                  <c:v>0.205553685999999</c:v>
                </c:pt>
                <c:pt idx="1">
                  <c:v>0.0666916839999999</c:v>
                </c:pt>
                <c:pt idx="2">
                  <c:v>0.822461989999999</c:v>
                </c:pt>
                <c:pt idx="3">
                  <c:v>-0.0132963899999993</c:v>
                </c:pt>
                <c:pt idx="4">
                  <c:v>1.33024236</c:v>
                </c:pt>
                <c:pt idx="5">
                  <c:v>0.385907810000001</c:v>
                </c:pt>
                <c:pt idx="6">
                  <c:v>0.299684456</c:v>
                </c:pt>
                <c:pt idx="7">
                  <c:v>0.0832491399999981</c:v>
                </c:pt>
              </c:numCache>
            </c:numRef>
          </c:xVal>
          <c:yVal>
            <c:numRef>
              <c:f>'Chart Data'!$D$99:$D$106</c:f>
              <c:numCache>
                <c:formatCode>0.00</c:formatCode>
                <c:ptCount val="8"/>
                <c:pt idx="0">
                  <c:v>0.33696621</c:v>
                </c:pt>
                <c:pt idx="1">
                  <c:v>0.106191446</c:v>
                </c:pt>
                <c:pt idx="2">
                  <c:v>2.013687334</c:v>
                </c:pt>
                <c:pt idx="3">
                  <c:v>-0.010167340000001</c:v>
                </c:pt>
                <c:pt idx="4">
                  <c:v>2.634720044</c:v>
                </c:pt>
                <c:pt idx="5">
                  <c:v>0.37677429</c:v>
                </c:pt>
                <c:pt idx="6">
                  <c:v>0.298317868</c:v>
                </c:pt>
                <c:pt idx="7">
                  <c:v>0.139407980000001</c:v>
                </c:pt>
              </c:numCache>
            </c:numRef>
          </c:yVal>
          <c:bubbleSize>
            <c:numRef>
              <c:f>'Chart Data'!$E$99:$E$106</c:f>
              <c:numCache>
                <c:formatCode>#,##0.0</c:formatCode>
                <c:ptCount val="8"/>
                <c:pt idx="0">
                  <c:v>43.85104297</c:v>
                </c:pt>
                <c:pt idx="1">
                  <c:v>102.3344063</c:v>
                </c:pt>
                <c:pt idx="2">
                  <c:v>40.22250391</c:v>
                </c:pt>
                <c:pt idx="3">
                  <c:v>10.20313965</c:v>
                </c:pt>
                <c:pt idx="4">
                  <c:v>36.91055859</c:v>
                </c:pt>
                <c:pt idx="5">
                  <c:v>5.10662207</c:v>
                </c:pt>
                <c:pt idx="6">
                  <c:v>43.84926953</c:v>
                </c:pt>
                <c:pt idx="7">
                  <c:v>17.50065625</c:v>
                </c:pt>
              </c:numCache>
            </c:numRef>
          </c:bubbleSize>
          <c:bubble3D val="0"/>
        </c:ser>
        <c:ser>
          <c:idx val="4"/>
          <c:order val="4"/>
          <c:tx>
            <c:strRef>
              <c:f>"North America"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Data'!$C$107:$C$109</c:f>
              <c:numCache>
                <c:formatCode>0.00</c:formatCode>
                <c:ptCount val="3"/>
                <c:pt idx="0">
                  <c:v>-0.00148214600000074</c:v>
                </c:pt>
                <c:pt idx="1">
                  <c:v>3.39999999710017E-007</c:v>
                </c:pt>
                <c:pt idx="2">
                  <c:v>0.0872737840000013</c:v>
                </c:pt>
              </c:numCache>
            </c:numRef>
          </c:xVal>
          <c:yVal>
            <c:numRef>
              <c:f>'Chart Data'!$D$107:$D$109</c:f>
              <c:numCache>
                <c:formatCode>0.00</c:formatCode>
                <c:ptCount val="3"/>
                <c:pt idx="0">
                  <c:v>0.0488601640000013</c:v>
                </c:pt>
                <c:pt idx="1">
                  <c:v>0</c:v>
                </c:pt>
                <c:pt idx="2">
                  <c:v>0.378133766000002</c:v>
                </c:pt>
              </c:numCache>
            </c:numRef>
          </c:yVal>
          <c:bubbleSize>
            <c:numRef>
              <c:f>'Chart Data'!$E$107:$E$109</c:f>
              <c:numCache>
                <c:formatCode>#,##0.0</c:formatCode>
                <c:ptCount val="3"/>
                <c:pt idx="0">
                  <c:v>37.74215625</c:v>
                </c:pt>
                <c:pt idx="1">
                  <c:v>0.05677199936</c:v>
                </c:pt>
                <c:pt idx="2">
                  <c:v>331.0026563</c:v>
                </c:pt>
              </c:numCache>
            </c:numRef>
          </c:bubbleSize>
          <c:bubble3D val="0"/>
        </c:ser>
        <c:ser>
          <c:idx val="5"/>
          <c:order val="5"/>
          <c:tx>
            <c:strRef>
              <c:f>"South Asia"</c:f>
              <c:strCache>
                <c:ptCount val="1"/>
                <c:pt idx="0">
                  <c:v>South Asia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Data'!$C$110:$C$120</c:f>
              <c:numCache>
                <c:formatCode>0.00</c:formatCode>
                <c:ptCount val="11"/>
                <c:pt idx="0">
                  <c:v>2.750326488</c:v>
                </c:pt>
                <c:pt idx="1">
                  <c:v>0.119271555999998</c:v>
                </c:pt>
                <c:pt idx="2">
                  <c:v>0.218360007999999</c:v>
                </c:pt>
                <c:pt idx="3">
                  <c:v>0.470278479999999</c:v>
                </c:pt>
                <c:pt idx="4">
                  <c:v>0.135129850000001</c:v>
                </c:pt>
                <c:pt idx="5">
                  <c:v>0.00954090200000053</c:v>
                </c:pt>
                <c:pt idx="6">
                  <c:v>0.146038862</c:v>
                </c:pt>
                <c:pt idx="7">
                  <c:v>0.453214839999998</c:v>
                </c:pt>
                <c:pt idx="8">
                  <c:v>0.138796547999999</c:v>
                </c:pt>
                <c:pt idx="9">
                  <c:v>0.418266707999999</c:v>
                </c:pt>
                <c:pt idx="10">
                  <c:v>0.42331016</c:v>
                </c:pt>
              </c:numCache>
            </c:numRef>
          </c:xVal>
          <c:yVal>
            <c:numRef>
              <c:f>'Chart Data'!$D$110:$D$120</c:f>
              <c:numCache>
                <c:formatCode>0.00</c:formatCode>
                <c:ptCount val="11"/>
                <c:pt idx="0">
                  <c:v>2.667882638</c:v>
                </c:pt>
                <c:pt idx="1">
                  <c:v>0.221445295999999</c:v>
                </c:pt>
                <c:pt idx="2">
                  <c:v>0.313366139999999</c:v>
                </c:pt>
                <c:pt idx="3">
                  <c:v>0.642100556</c:v>
                </c:pt>
                <c:pt idx="4">
                  <c:v>0.333246546000001</c:v>
                </c:pt>
                <c:pt idx="5">
                  <c:v>-0.144172219999999</c:v>
                </c:pt>
                <c:pt idx="6">
                  <c:v>0.207862645999998</c:v>
                </c:pt>
                <c:pt idx="7">
                  <c:v>0.592258402000002</c:v>
                </c:pt>
                <c:pt idx="8">
                  <c:v>0.2897808</c:v>
                </c:pt>
                <c:pt idx="9">
                  <c:v>0.570754178000001</c:v>
                </c:pt>
                <c:pt idx="10">
                  <c:v>0.456065912</c:v>
                </c:pt>
              </c:numCache>
            </c:numRef>
          </c:yVal>
          <c:bubbleSize>
            <c:numRef>
              <c:f>'Chart Data'!$E$110:$E$120</c:f>
              <c:numCache>
                <c:formatCode>#,##0.0</c:formatCode>
                <c:ptCount val="11"/>
                <c:pt idx="0">
                  <c:v>38.92833984</c:v>
                </c:pt>
                <c:pt idx="1">
                  <c:v>164.6893906</c:v>
                </c:pt>
                <c:pt idx="2">
                  <c:v>0.7716119995</c:v>
                </c:pt>
                <c:pt idx="3">
                  <c:v>1380.004375</c:v>
                </c:pt>
                <c:pt idx="4">
                  <c:v>83.99295313</c:v>
                </c:pt>
                <c:pt idx="5">
                  <c:v>32.36599805</c:v>
                </c:pt>
                <c:pt idx="6">
                  <c:v>0.5405419922</c:v>
                </c:pt>
                <c:pt idx="7">
                  <c:v>29.13680859</c:v>
                </c:pt>
                <c:pt idx="8">
                  <c:v>220.8923281</c:v>
                </c:pt>
                <c:pt idx="9">
                  <c:v>109.5810859</c:v>
                </c:pt>
                <c:pt idx="10">
                  <c:v>21.41325</c:v>
                </c:pt>
              </c:numCache>
            </c:numRef>
          </c:bubbleSize>
          <c:bubble3D val="0"/>
        </c:ser>
        <c:ser>
          <c:idx val="6"/>
          <c:order val="6"/>
          <c:tx>
            <c:strRef>
              <c:f>"Sub-Saharan Africa"</c:f>
              <c:strCache>
                <c:ptCount val="1"/>
                <c:pt idx="0">
                  <c:v>Sub-Saharan Africa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'Chart Data'!$C$121:$C$169</c:f>
              <c:numCache>
                <c:formatCode>0.00</c:formatCode>
                <c:ptCount val="49"/>
                <c:pt idx="0">
                  <c:v>0.570161854</c:v>
                </c:pt>
                <c:pt idx="1">
                  <c:v>0.125460138</c:v>
                </c:pt>
                <c:pt idx="2">
                  <c:v>0.753454708000001</c:v>
                </c:pt>
                <c:pt idx="3">
                  <c:v>-0.584455326</c:v>
                </c:pt>
                <c:pt idx="4">
                  <c:v>0.5251306</c:v>
                </c:pt>
                <c:pt idx="5">
                  <c:v>0.665252810000001</c:v>
                </c:pt>
                <c:pt idx="6">
                  <c:v>0.349285611999998</c:v>
                </c:pt>
                <c:pt idx="7">
                  <c:v>-1.021788674</c:v>
                </c:pt>
                <c:pt idx="8">
                  <c:v>0.357687564</c:v>
                </c:pt>
                <c:pt idx="9">
                  <c:v>0.0196244325000023</c:v>
                </c:pt>
                <c:pt idx="10">
                  <c:v>0.526985962000001</c:v>
                </c:pt>
                <c:pt idx="11">
                  <c:v>-0.0333393020000017</c:v>
                </c:pt>
                <c:pt idx="12">
                  <c:v>0.646789398</c:v>
                </c:pt>
                <c:pt idx="13">
                  <c:v>0.0525750359999989</c:v>
                </c:pt>
                <c:pt idx="14">
                  <c:v>0.243607204999996</c:v>
                </c:pt>
                <c:pt idx="15">
                  <c:v>0.384626650000001</c:v>
                </c:pt>
                <c:pt idx="16">
                  <c:v>0.809823145999999</c:v>
                </c:pt>
                <c:pt idx="17">
                  <c:v>1.509101108</c:v>
                </c:pt>
                <c:pt idx="18">
                  <c:v>0.296688810000001</c:v>
                </c:pt>
                <c:pt idx="19">
                  <c:v>0.346048128000001</c:v>
                </c:pt>
                <c:pt idx="20">
                  <c:v>1.126607084</c:v>
                </c:pt>
                <c:pt idx="21">
                  <c:v>0.0692798400000001</c:v>
                </c:pt>
                <c:pt idx="22">
                  <c:v>0.0505129179999997</c:v>
                </c:pt>
                <c:pt idx="23">
                  <c:v>0.425564492000001</c:v>
                </c:pt>
                <c:pt idx="24">
                  <c:v>0.68719272</c:v>
                </c:pt>
                <c:pt idx="25">
                  <c:v>0.326069974000001</c:v>
                </c:pt>
                <c:pt idx="26">
                  <c:v>0.53839993</c:v>
                </c:pt>
                <c:pt idx="27">
                  <c:v>0.898822274</c:v>
                </c:pt>
                <c:pt idx="28">
                  <c:v>0.778553873999999</c:v>
                </c:pt>
                <c:pt idx="29">
                  <c:v>1.629555762</c:v>
                </c:pt>
                <c:pt idx="30">
                  <c:v>0.941547965999999</c:v>
                </c:pt>
                <c:pt idx="31">
                  <c:v>-4.54240000010486E-005</c:v>
                </c:pt>
                <c:pt idx="32">
                  <c:v>2.438650084</c:v>
                </c:pt>
                <c:pt idx="33">
                  <c:v>0.349180225999999</c:v>
                </c:pt>
                <c:pt idx="34">
                  <c:v>0.285867882000001</c:v>
                </c:pt>
                <c:pt idx="35">
                  <c:v>1.765859584</c:v>
                </c:pt>
                <c:pt idx="36">
                  <c:v>0.658545426000001</c:v>
                </c:pt>
                <c:pt idx="37">
                  <c:v>0.220445074</c:v>
                </c:pt>
                <c:pt idx="38">
                  <c:v>1.260628834</c:v>
                </c:pt>
                <c:pt idx="39">
                  <c:v>1.183764092</c:v>
                </c:pt>
                <c:pt idx="40">
                  <c:v>1.553163942</c:v>
                </c:pt>
                <c:pt idx="41">
                  <c:v>0.401742714</c:v>
                </c:pt>
                <c:pt idx="42">
                  <c:v>-0.0593164580000007</c:v>
                </c:pt>
                <c:pt idx="43">
                  <c:v>0.989318747999999</c:v>
                </c:pt>
                <c:pt idx="44">
                  <c:v>0.539570778000001</c:v>
                </c:pt>
                <c:pt idx="45">
                  <c:v>1.60269817</c:v>
                </c:pt>
                <c:pt idx="46">
                  <c:v>1.5506006</c:v>
                </c:pt>
                <c:pt idx="47">
                  <c:v>0.814727458</c:v>
                </c:pt>
                <c:pt idx="48">
                  <c:v>-0.4</c:v>
                </c:pt>
              </c:numCache>
            </c:numRef>
          </c:xVal>
          <c:yVal>
            <c:numRef>
              <c:f>'Chart Data'!$D$121:$D$169</c:f>
              <c:numCache>
                <c:formatCode>0.00</c:formatCode>
                <c:ptCount val="49"/>
                <c:pt idx="0">
                  <c:v>0.218771442</c:v>
                </c:pt>
                <c:pt idx="1">
                  <c:v>0.253583103999999</c:v>
                </c:pt>
                <c:pt idx="2">
                  <c:v>1.430238006</c:v>
                </c:pt>
                <c:pt idx="3">
                  <c:v>-1.22738096</c:v>
                </c:pt>
                <c:pt idx="4">
                  <c:v>0.425499671999999</c:v>
                </c:pt>
                <c:pt idx="5">
                  <c:v>1.456442266</c:v>
                </c:pt>
                <c:pt idx="6">
                  <c:v>0.304382382</c:v>
                </c:pt>
                <c:pt idx="7">
                  <c:v>-0.756962728</c:v>
                </c:pt>
                <c:pt idx="8">
                  <c:v>0.399262902</c:v>
                </c:pt>
                <c:pt idx="9">
                  <c:v>0</c:v>
                </c:pt>
                <c:pt idx="10">
                  <c:v>0.866515448</c:v>
                </c:pt>
                <c:pt idx="11">
                  <c:v>-0.0241449720000006</c:v>
                </c:pt>
                <c:pt idx="12">
                  <c:v>0.272055708</c:v>
                </c:pt>
                <c:pt idx="13">
                  <c:v>-0.295694432000001</c:v>
                </c:pt>
                <c:pt idx="14">
                  <c:v>0</c:v>
                </c:pt>
                <c:pt idx="15">
                  <c:v>0</c:v>
                </c:pt>
                <c:pt idx="16">
                  <c:v>0.868292767999999</c:v>
                </c:pt>
                <c:pt idx="17">
                  <c:v>1.515674352</c:v>
                </c:pt>
                <c:pt idx="18">
                  <c:v>0.27117117</c:v>
                </c:pt>
                <c:pt idx="19">
                  <c:v>0.186726128000001</c:v>
                </c:pt>
                <c:pt idx="20">
                  <c:v>0.936889056000001</c:v>
                </c:pt>
                <c:pt idx="21">
                  <c:v>-0.24019527</c:v>
                </c:pt>
                <c:pt idx="22">
                  <c:v>0.281835050000001</c:v>
                </c:pt>
                <c:pt idx="23">
                  <c:v>0.085856410000001</c:v>
                </c:pt>
                <c:pt idx="24">
                  <c:v>0.701563404</c:v>
                </c:pt>
                <c:pt idx="25">
                  <c:v>0.0458943339999991</c:v>
                </c:pt>
                <c:pt idx="26">
                  <c:v>0.567406986</c:v>
                </c:pt>
                <c:pt idx="27">
                  <c:v>0.652368509999999</c:v>
                </c:pt>
                <c:pt idx="28">
                  <c:v>0.868887024000001</c:v>
                </c:pt>
                <c:pt idx="29">
                  <c:v>1.737036236</c:v>
                </c:pt>
                <c:pt idx="30">
                  <c:v>0.643699344</c:v>
                </c:pt>
                <c:pt idx="31">
                  <c:v>0</c:v>
                </c:pt>
                <c:pt idx="32">
                  <c:v>2.579061548</c:v>
                </c:pt>
                <c:pt idx="33">
                  <c:v>0.223027210000001</c:v>
                </c:pt>
                <c:pt idx="34">
                  <c:v>0.364843533999999</c:v>
                </c:pt>
                <c:pt idx="35">
                  <c:v>1.633152206</c:v>
                </c:pt>
                <c:pt idx="36">
                  <c:v>0.657951734</c:v>
                </c:pt>
                <c:pt idx="37">
                  <c:v>0.603579569999999</c:v>
                </c:pt>
                <c:pt idx="38">
                  <c:v>1.860345328</c:v>
                </c:pt>
                <c:pt idx="39">
                  <c:v>1.444597766</c:v>
                </c:pt>
                <c:pt idx="40">
                  <c:v>1.569534044</c:v>
                </c:pt>
                <c:pt idx="41">
                  <c:v>0.859148530000002</c:v>
                </c:pt>
                <c:pt idx="42">
                  <c:v>-0.626630184</c:v>
                </c:pt>
                <c:pt idx="43">
                  <c:v>0.975073894000001</c:v>
                </c:pt>
                <c:pt idx="44">
                  <c:v>1.669111792</c:v>
                </c:pt>
                <c:pt idx="45">
                  <c:v>1.70283729</c:v>
                </c:pt>
                <c:pt idx="46">
                  <c:v>1.316708156</c:v>
                </c:pt>
                <c:pt idx="47">
                  <c:v>0.922090802</c:v>
                </c:pt>
                <c:pt idx="48">
                  <c:v>-0.6</c:v>
                </c:pt>
              </c:numCache>
            </c:numRef>
          </c:yVal>
          <c:bubbleSize>
            <c:numRef>
              <c:f>'Chart Data'!$E$121:$E$169</c:f>
              <c:numCache>
                <c:formatCode>#,##0.0</c:formatCode>
                <c:ptCount val="49"/>
                <c:pt idx="0">
                  <c:v>32.86626953</c:v>
                </c:pt>
                <c:pt idx="1">
                  <c:v>12.12319824</c:v>
                </c:pt>
                <c:pt idx="2">
                  <c:v>2.351625</c:v>
                </c:pt>
                <c:pt idx="3">
                  <c:v>20.90327734</c:v>
                </c:pt>
                <c:pt idx="4">
                  <c:v>11.89078125</c:v>
                </c:pt>
                <c:pt idx="5">
                  <c:v>0.5559879761</c:v>
                </c:pt>
                <c:pt idx="6">
                  <c:v>26.54586328</c:v>
                </c:pt>
                <c:pt idx="7">
                  <c:v>4.82976416</c:v>
                </c:pt>
                <c:pt idx="8">
                  <c:v>16.42585938</c:v>
                </c:pt>
                <c:pt idx="9">
                  <c:v>0.8508909912</c:v>
                </c:pt>
                <c:pt idx="10">
                  <c:v>5.518091797</c:v>
                </c:pt>
                <c:pt idx="11">
                  <c:v>26.37827539</c:v>
                </c:pt>
                <c:pt idx="12">
                  <c:v>89.56140625</c:v>
                </c:pt>
                <c:pt idx="13">
                  <c:v>0.9880020142</c:v>
                </c:pt>
                <c:pt idx="14">
                  <c:v>1.262008057</c:v>
                </c:pt>
                <c:pt idx="15">
                  <c:v>3.376558105</c:v>
                </c:pt>
                <c:pt idx="16">
                  <c:v>1.16016394</c:v>
                </c:pt>
                <c:pt idx="17">
                  <c:v>114.9635859</c:v>
                </c:pt>
                <c:pt idx="18">
                  <c:v>2.225728027</c:v>
                </c:pt>
                <c:pt idx="19">
                  <c:v>2.416664063</c:v>
                </c:pt>
                <c:pt idx="20">
                  <c:v>31.07294531</c:v>
                </c:pt>
                <c:pt idx="21">
                  <c:v>13.13279199</c:v>
                </c:pt>
                <c:pt idx="22">
                  <c:v>1.967998047</c:v>
                </c:pt>
                <c:pt idx="23">
                  <c:v>11.4025332</c:v>
                </c:pt>
                <c:pt idx="24">
                  <c:v>53.77130078</c:v>
                </c:pt>
                <c:pt idx="25">
                  <c:v>2.142251953</c:v>
                </c:pt>
                <c:pt idx="26">
                  <c:v>5.057676758</c:v>
                </c:pt>
                <c:pt idx="27">
                  <c:v>27.69101953</c:v>
                </c:pt>
                <c:pt idx="28">
                  <c:v>19.12995508</c:v>
                </c:pt>
                <c:pt idx="29">
                  <c:v>20.25083398</c:v>
                </c:pt>
                <c:pt idx="30">
                  <c:v>4.649660156</c:v>
                </c:pt>
                <c:pt idx="31">
                  <c:v>1.271766968</c:v>
                </c:pt>
                <c:pt idx="32">
                  <c:v>31.25543555</c:v>
                </c:pt>
                <c:pt idx="33">
                  <c:v>2.540916016</c:v>
                </c:pt>
                <c:pt idx="34">
                  <c:v>24.20663672</c:v>
                </c:pt>
                <c:pt idx="35">
                  <c:v>206.1395938</c:v>
                </c:pt>
                <c:pt idx="36">
                  <c:v>12.95220898</c:v>
                </c:pt>
                <c:pt idx="37">
                  <c:v>0.2191609955</c:v>
                </c:pt>
                <c:pt idx="38">
                  <c:v>16.74392969</c:v>
                </c:pt>
                <c:pt idx="39">
                  <c:v>7.976984863</c:v>
                </c:pt>
                <c:pt idx="40">
                  <c:v>15.89321875</c:v>
                </c:pt>
                <c:pt idx="41">
                  <c:v>59.30869141</c:v>
                </c:pt>
                <c:pt idx="42">
                  <c:v>11.19372852</c:v>
                </c:pt>
                <c:pt idx="43">
                  <c:v>8.278737305</c:v>
                </c:pt>
                <c:pt idx="44">
                  <c:v>11.81861816</c:v>
                </c:pt>
                <c:pt idx="45">
                  <c:v>45.741</c:v>
                </c:pt>
                <c:pt idx="46">
                  <c:v>59.73421484</c:v>
                </c:pt>
                <c:pt idx="47">
                  <c:v>18.38395508</c:v>
                </c:pt>
                <c:pt idx="48">
                  <c:v>14.863</c:v>
                </c:pt>
              </c:numCache>
            </c:numRef>
          </c:bubbleSize>
          <c:bubble3D val="0"/>
        </c:ser>
        <c:axId val="21287303"/>
        <c:axId val="88455443"/>
      </c:bubbleChart>
      <c:valAx>
        <c:axId val="2128730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ARC – national (points/year)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55443"/>
        <c:crosses val="autoZero"/>
        <c:crossBetween val="midCat"/>
      </c:valAx>
      <c:valAx>
        <c:axId val="88455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ARC – rural (points/year)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873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12</xdr:col>
      <xdr:colOff>181800</xdr:colOff>
      <xdr:row>14</xdr:row>
      <xdr:rowOff>127440</xdr:rowOff>
    </xdr:to>
    <xdr:graphicFrame>
      <xdr:nvGraphicFramePr>
        <xdr:cNvPr id="0" name="Chart 1"/>
        <xdr:cNvGraphicFramePr/>
      </xdr:nvGraphicFramePr>
      <xdr:xfrm>
        <a:off x="7753320" y="571680"/>
        <a:ext cx="4319640" cy="23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30</xdr:row>
      <xdr:rowOff>130680</xdr:rowOff>
    </xdr:from>
    <xdr:to>
      <xdr:col>19</xdr:col>
      <xdr:colOff>4680</xdr:colOff>
      <xdr:row>45</xdr:row>
      <xdr:rowOff>95760</xdr:rowOff>
    </xdr:to>
    <xdr:graphicFrame>
      <xdr:nvGraphicFramePr>
        <xdr:cNvPr id="1" name="Chart 2"/>
        <xdr:cNvGraphicFramePr/>
      </xdr:nvGraphicFramePr>
      <xdr:xfrm>
        <a:off x="10056600" y="638172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131040</xdr:rowOff>
    </xdr:from>
    <xdr:to>
      <xdr:col>4</xdr:col>
      <xdr:colOff>677160</xdr:colOff>
      <xdr:row>28</xdr:row>
      <xdr:rowOff>153000</xdr:rowOff>
    </xdr:to>
    <xdr:graphicFrame>
      <xdr:nvGraphicFramePr>
        <xdr:cNvPr id="2" name="Chart 1"/>
        <xdr:cNvGraphicFramePr/>
      </xdr:nvGraphicFramePr>
      <xdr:xfrm>
        <a:off x="0" y="30099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21</xdr:col>
      <xdr:colOff>473040</xdr:colOff>
      <xdr:row>21</xdr:row>
      <xdr:rowOff>128160</xdr:rowOff>
    </xdr:to>
    <xdr:graphicFrame>
      <xdr:nvGraphicFramePr>
        <xdr:cNvPr id="3" name="Chart 2"/>
        <xdr:cNvGraphicFramePr/>
      </xdr:nvGraphicFramePr>
      <xdr:xfrm>
        <a:off x="9915480" y="5716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  <c r="B8" s="4" t="s">
        <v>6</v>
      </c>
    </row>
    <row r="9" customFormat="false" ht="15" hidden="false" customHeight="false" outlineLevel="0" collapsed="false">
      <c r="A9" s="3" t="s">
        <v>7</v>
      </c>
      <c r="B9" s="4" t="s">
        <v>8</v>
      </c>
    </row>
    <row r="10" customFormat="false" ht="15" hidden="false" customHeight="false" outlineLevel="0" collapsed="false">
      <c r="A10" s="3" t="s">
        <v>9</v>
      </c>
      <c r="B10" s="4" t="s">
        <v>10</v>
      </c>
    </row>
    <row r="11" customFormat="false" ht="15" hidden="false" customHeight="false" outlineLevel="0" collapsed="false">
      <c r="A11" s="3" t="s">
        <v>11</v>
      </c>
      <c r="B11" s="4" t="s">
        <v>12</v>
      </c>
    </row>
    <row r="12" customFormat="false" ht="15" hidden="false" customHeight="false" outlineLevel="0" collapsed="false">
      <c r="A12" s="3" t="s">
        <v>13</v>
      </c>
      <c r="B12" s="4" t="s">
        <v>14</v>
      </c>
    </row>
    <row r="14" customFormat="false" ht="15" hidden="false" customHeight="false" outlineLevel="0" collapsed="false">
      <c r="A14" s="3" t="s">
        <v>15</v>
      </c>
    </row>
    <row r="15" customFormat="false" ht="15" hidden="false" customHeight="false" outlineLevel="0" collapsed="false">
      <c r="A15" s="4" t="s">
        <v>16</v>
      </c>
    </row>
    <row r="17" customFormat="false" ht="15" hidden="false" customHeight="false" outlineLevel="0" collapsed="false">
      <c r="A17" s="3" t="s">
        <v>17</v>
      </c>
    </row>
    <row r="18" customFormat="false" ht="15" hidden="false" customHeight="false" outlineLevel="0" collapsed="false">
      <c r="A18" s="4" t="s">
        <v>18</v>
      </c>
    </row>
    <row r="19" customFormat="false" ht="15" hidden="false" customHeight="false" outlineLevel="0" collapsed="false">
      <c r="A19" s="4" t="s">
        <v>19</v>
      </c>
    </row>
    <row r="20" customFormat="false" ht="15" hidden="false" customHeight="false" outlineLevel="0" collapsed="false">
      <c r="A20" s="4" t="s">
        <v>20</v>
      </c>
    </row>
    <row r="21" customFormat="false" ht="15" hidden="false" customHeight="false" outlineLevel="0" collapsed="false">
      <c r="A21" s="4" t="s">
        <v>21</v>
      </c>
    </row>
    <row r="22" customFormat="false" ht="15" hidden="false" customHeight="false" outlineLevel="0" collapsed="false">
      <c r="A22" s="4" t="s">
        <v>22</v>
      </c>
    </row>
    <row r="25" customFormat="false" ht="15" hidden="false" customHeight="false" outlineLevel="0" collapsed="false">
      <c r="A25" s="3" t="s">
        <v>23</v>
      </c>
    </row>
    <row r="26" customFormat="false" ht="19.5" hidden="false" customHeight="true" outlineLevel="0" collapsed="false">
      <c r="A26" s="5" t="s">
        <v>24</v>
      </c>
      <c r="B26" s="5" t="s">
        <v>25</v>
      </c>
    </row>
    <row r="27" customFormat="false" ht="15" hidden="false" customHeight="false" outlineLevel="0" collapsed="false">
      <c r="A27" s="4" t="s">
        <v>26</v>
      </c>
      <c r="B27" s="4" t="s">
        <v>27</v>
      </c>
    </row>
    <row r="28" customFormat="false" ht="15" hidden="false" customHeight="false" outlineLevel="0" collapsed="false">
      <c r="A28" s="4" t="s">
        <v>28</v>
      </c>
      <c r="B28" s="4" t="s">
        <v>29</v>
      </c>
    </row>
    <row r="29" customFormat="false" ht="15" hidden="false" customHeight="false" outlineLevel="0" collapsed="false">
      <c r="A29" s="4" t="s">
        <v>30</v>
      </c>
      <c r="B29" s="4" t="s">
        <v>31</v>
      </c>
    </row>
    <row r="30" customFormat="false" ht="15" hidden="false" customHeight="false" outlineLevel="0" collapsed="false">
      <c r="A30" s="4" t="s">
        <v>32</v>
      </c>
      <c r="B30" s="4" t="s">
        <v>33</v>
      </c>
    </row>
    <row r="31" customFormat="false" ht="15" hidden="false" customHeight="false" outlineLevel="0" collapsed="false">
      <c r="A31" s="4" t="s">
        <v>34</v>
      </c>
      <c r="B31" s="4" t="s">
        <v>35</v>
      </c>
    </row>
    <row r="32" customFormat="false" ht="15" hidden="false" customHeight="false" outlineLevel="0" collapsed="false">
      <c r="A32" s="4" t="s">
        <v>36</v>
      </c>
      <c r="B32" s="4" t="s">
        <v>37</v>
      </c>
    </row>
    <row r="33" customFormat="false" ht="15" hidden="false" customHeight="false" outlineLevel="0" collapsed="false">
      <c r="A33" s="4" t="s">
        <v>38</v>
      </c>
      <c r="B33" s="4" t="s">
        <v>39</v>
      </c>
    </row>
    <row r="34" customFormat="false" ht="15" hidden="false" customHeight="false" outlineLevel="0" collapsed="false">
      <c r="A34" s="4" t="s">
        <v>40</v>
      </c>
      <c r="B34" s="4" t="s">
        <v>41</v>
      </c>
    </row>
    <row r="35" customFormat="false" ht="15" hidden="false" customHeight="false" outlineLevel="0" collapsed="false">
      <c r="A35" s="4" t="s">
        <v>42</v>
      </c>
      <c r="B35" s="4" t="s">
        <v>43</v>
      </c>
    </row>
    <row r="36" customFormat="false" ht="15" hidden="false" customHeight="false" outlineLevel="0" collapsed="false">
      <c r="A36" s="4" t="s">
        <v>44</v>
      </c>
      <c r="B36" s="4" t="s">
        <v>45</v>
      </c>
    </row>
    <row r="37" customFormat="false" ht="15" hidden="false" customHeight="false" outlineLevel="0" collapsed="false">
      <c r="A37" s="4" t="s">
        <v>46</v>
      </c>
      <c r="B37" s="4" t="s">
        <v>47</v>
      </c>
    </row>
    <row r="38" customFormat="false" ht="15" hidden="false" customHeight="false" outlineLevel="0" collapsed="false">
      <c r="A38" s="4" t="s">
        <v>48</v>
      </c>
      <c r="B38" s="4" t="s">
        <v>49</v>
      </c>
    </row>
    <row r="39" customFormat="false" ht="15" hidden="false" customHeight="false" outlineLevel="0" collapsed="false">
      <c r="A39" s="4" t="s">
        <v>50</v>
      </c>
      <c r="B39" s="4" t="s">
        <v>51</v>
      </c>
    </row>
    <row r="40" customFormat="false" ht="15" hidden="false" customHeight="false" outlineLevel="0" collapsed="false">
      <c r="A40" s="4" t="s">
        <v>52</v>
      </c>
      <c r="B40" s="4" t="s">
        <v>53</v>
      </c>
    </row>
    <row r="41" customFormat="false" ht="15" hidden="false" customHeight="false" outlineLevel="0" collapsed="false">
      <c r="A41" s="4" t="s">
        <v>54</v>
      </c>
      <c r="B41" s="4" t="s">
        <v>55</v>
      </c>
    </row>
    <row r="42" customFormat="false" ht="15" hidden="false" customHeight="false" outlineLevel="0" collapsed="false">
      <c r="A42" s="4" t="s">
        <v>56</v>
      </c>
      <c r="B42" s="4" t="s">
        <v>57</v>
      </c>
    </row>
    <row r="43" customFormat="false" ht="15" hidden="false" customHeight="false" outlineLevel="0" collapsed="false">
      <c r="A43" s="4" t="s">
        <v>58</v>
      </c>
      <c r="B43" s="4" t="s">
        <v>59</v>
      </c>
    </row>
    <row r="44" customFormat="false" ht="15" hidden="false" customHeight="false" outlineLevel="0" collapsed="false">
      <c r="A44" s="4" t="s">
        <v>60</v>
      </c>
      <c r="B44" s="4" t="s">
        <v>61</v>
      </c>
    </row>
    <row r="45" customFormat="false" ht="15" hidden="false" customHeight="false" outlineLevel="0" collapsed="false">
      <c r="A45" s="4" t="s">
        <v>62</v>
      </c>
      <c r="B45" s="4" t="s">
        <v>63</v>
      </c>
    </row>
    <row r="46" customFormat="false" ht="15" hidden="false" customHeight="false" outlineLevel="0" collapsed="false">
      <c r="A46" s="4" t="s">
        <v>64</v>
      </c>
      <c r="B46" s="4" t="s">
        <v>65</v>
      </c>
    </row>
    <row r="47" customFormat="false" ht="15" hidden="false" customHeight="false" outlineLevel="0" collapsed="false">
      <c r="A47" s="4" t="s">
        <v>66</v>
      </c>
      <c r="B47" s="4" t="s">
        <v>67</v>
      </c>
    </row>
    <row r="48" customFormat="false" ht="15" hidden="false" customHeight="false" outlineLevel="0" collapsed="false">
      <c r="A48" s="4" t="s">
        <v>68</v>
      </c>
      <c r="B48" s="4" t="s">
        <v>69</v>
      </c>
    </row>
    <row r="49" customFormat="false" ht="15" hidden="false" customHeight="false" outlineLevel="0" collapsed="false">
      <c r="A49" s="4" t="s">
        <v>70</v>
      </c>
      <c r="B49" s="4" t="s">
        <v>71</v>
      </c>
    </row>
    <row r="50" customFormat="false" ht="15" hidden="false" customHeight="false" outlineLevel="0" collapsed="false">
      <c r="A50" s="4" t="s">
        <v>72</v>
      </c>
      <c r="B50" s="4" t="s">
        <v>73</v>
      </c>
    </row>
    <row r="51" customFormat="false" ht="15" hidden="false" customHeight="false" outlineLevel="0" collapsed="false">
      <c r="A51" s="4" t="s">
        <v>74</v>
      </c>
      <c r="B51" s="4" t="s">
        <v>75</v>
      </c>
    </row>
    <row r="52" customFormat="false" ht="15" hidden="false" customHeight="false" outlineLevel="0" collapsed="false">
      <c r="A52" s="4" t="s">
        <v>76</v>
      </c>
      <c r="B52" s="4" t="s">
        <v>77</v>
      </c>
    </row>
    <row r="53" customFormat="false" ht="15" hidden="false" customHeight="false" outlineLevel="0" collapsed="false">
      <c r="A53" s="4" t="s">
        <v>78</v>
      </c>
      <c r="B53" s="4" t="s">
        <v>79</v>
      </c>
    </row>
    <row r="54" customFormat="false" ht="15" hidden="false" customHeight="false" outlineLevel="0" collapsed="false">
      <c r="A54" s="4" t="s">
        <v>80</v>
      </c>
      <c r="B54" s="4" t="s">
        <v>81</v>
      </c>
    </row>
    <row r="56" customFormat="false" ht="15" hidden="false" customHeight="false" outlineLevel="0" collapsed="false">
      <c r="A56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28" min="3" style="0" width="12"/>
  </cols>
  <sheetData>
    <row r="1" customFormat="false" ht="48" hidden="false" customHeight="true" outlineLevel="0" collapsed="false">
      <c r="A1" s="5" t="s">
        <v>26</v>
      </c>
      <c r="B1" s="5" t="s">
        <v>28</v>
      </c>
      <c r="C1" s="5" t="s">
        <v>30</v>
      </c>
      <c r="D1" s="5" t="s">
        <v>32</v>
      </c>
      <c r="E1" s="5" t="s">
        <v>34</v>
      </c>
      <c r="F1" s="5" t="s">
        <v>36</v>
      </c>
      <c r="G1" s="5" t="s">
        <v>38</v>
      </c>
      <c r="H1" s="5" t="s">
        <v>40</v>
      </c>
      <c r="I1" s="5" t="s">
        <v>42</v>
      </c>
      <c r="J1" s="5" t="s">
        <v>44</v>
      </c>
      <c r="K1" s="5" t="s">
        <v>46</v>
      </c>
      <c r="L1" s="5" t="s">
        <v>48</v>
      </c>
      <c r="M1" s="5" t="s">
        <v>50</v>
      </c>
      <c r="N1" s="5" t="s">
        <v>52</v>
      </c>
      <c r="O1" s="5" t="s">
        <v>54</v>
      </c>
      <c r="P1" s="5" t="s">
        <v>56</v>
      </c>
      <c r="Q1" s="5" t="s">
        <v>58</v>
      </c>
      <c r="R1" s="5" t="s">
        <v>60</v>
      </c>
      <c r="S1" s="5" t="s">
        <v>62</v>
      </c>
      <c r="T1" s="5" t="s">
        <v>64</v>
      </c>
      <c r="U1" s="5" t="s">
        <v>66</v>
      </c>
      <c r="V1" s="5" t="s">
        <v>68</v>
      </c>
      <c r="W1" s="5" t="s">
        <v>70</v>
      </c>
      <c r="X1" s="5" t="s">
        <v>72</v>
      </c>
      <c r="Y1" s="5" t="s">
        <v>74</v>
      </c>
      <c r="Z1" s="5" t="s">
        <v>76</v>
      </c>
      <c r="AA1" s="5" t="s">
        <v>78</v>
      </c>
      <c r="AB1" s="5" t="s">
        <v>80</v>
      </c>
    </row>
    <row r="2" customFormat="false" ht="15" hidden="false" customHeight="false" outlineLevel="0" collapsed="false">
      <c r="A2" s="4" t="s">
        <v>83</v>
      </c>
      <c r="B2" s="4" t="str">
        <f aca="false">IFERROR(INDEX('Region Lookup'!$B$2:$B$233,MATCH(A2,'Region Lookup'!$A$2:$A$233,0)),"Not found")</f>
        <v>South Asia</v>
      </c>
      <c r="C2" s="4" t="n">
        <v>2015</v>
      </c>
      <c r="D2" s="6" t="n">
        <v>34413.60156</v>
      </c>
      <c r="E2" s="7" t="n">
        <v>24.8029995</v>
      </c>
      <c r="F2" s="7" t="n">
        <v>61.33978081</v>
      </c>
      <c r="G2" s="7" t="n">
        <v>3.511199514</v>
      </c>
      <c r="H2" s="7" t="n">
        <v>22.16878383</v>
      </c>
      <c r="I2" s="7" t="n">
        <v>12.98023585</v>
      </c>
      <c r="J2" s="7" t="n">
        <v>52.98850202</v>
      </c>
      <c r="K2" s="7" t="n">
        <v>3.861136617</v>
      </c>
      <c r="L2" s="7" t="n">
        <v>26.55326757</v>
      </c>
      <c r="M2" s="7" t="n">
        <v>16.59709379</v>
      </c>
      <c r="N2" s="7" t="n">
        <v>86.65894072</v>
      </c>
      <c r="O2" s="7" t="n">
        <v>2.450270561</v>
      </c>
      <c r="P2" s="7" t="n">
        <v>8.876035732</v>
      </c>
      <c r="Q2" s="7" t="n">
        <v>2.014752987</v>
      </c>
      <c r="R2" s="8" t="n">
        <f aca="false">IF($A2=$A3,$C3-$C2,"")</f>
        <v>5</v>
      </c>
      <c r="S2" s="9" t="n">
        <f aca="false">IF(AND($A2=$A3,ISNUMBER(F2),ISNUMBER(F3)),(F3-F2)/($C3-$C2),"")</f>
        <v>2.750326488</v>
      </c>
      <c r="T2" s="9" t="n">
        <f aca="false">IF(AND($A2=$A3,ISNUMBER(J2),ISNUMBER(J3)),(J3-J2)/($C3-$C2),"")</f>
        <v>2.667882638</v>
      </c>
      <c r="U2" s="9" t="n">
        <f aca="false">IF(AND($A2=$A3,ISNUMBER(N2),ISNUMBER(N3)),(N3-N2)/($C3-$C2),"")</f>
        <v>2.668211856</v>
      </c>
      <c r="V2" s="8" t="n">
        <f aca="false">IF(ISNUMBER(F2),ROUND(F2,0),"")</f>
        <v>61</v>
      </c>
      <c r="W2" s="8" t="n">
        <f aca="false">IF(ISNUMBER(J2),ROUND(J2,0),"")</f>
        <v>53</v>
      </c>
      <c r="X2" s="8" t="n">
        <f aca="false">IF(ISNUMBER(N2),ROUND(N2,0),"")</f>
        <v>87</v>
      </c>
      <c r="Y2" s="4" t="str">
        <f aca="false">IF(AND($A2=$A3,V2=100,V3=100),"full access","")</f>
        <v/>
      </c>
      <c r="Z2" s="4" t="str">
        <f aca="false">IF(AND($A2=$A3,W2=100,W3=100),"full access","")</f>
        <v/>
      </c>
      <c r="AA2" s="4" t="str">
        <f aca="false">IF(AND($A2=$A3,X2=100,X3=100),"full access","")</f>
        <v/>
      </c>
      <c r="AB2" s="9" t="n">
        <f aca="false">IF(AND(ISNUMBER(T2),ISNUMBER(U2)),T2-U2,"")</f>
        <v>-0.000329217999998743</v>
      </c>
    </row>
    <row r="3" customFormat="false" ht="15" hidden="false" customHeight="false" outlineLevel="0" collapsed="false">
      <c r="A3" s="4" t="s">
        <v>83</v>
      </c>
      <c r="B3" s="4" t="str">
        <f aca="false">IFERROR(INDEX('Region Lookup'!$B$2:$B$233,MATCH(A3,'Region Lookup'!$A$2:$A$233,0)),"Not found")</f>
        <v>South Asia</v>
      </c>
      <c r="C3" s="4" t="n">
        <v>2020</v>
      </c>
      <c r="D3" s="6" t="n">
        <v>38928.33984</v>
      </c>
      <c r="E3" s="7" t="n">
        <v>26.02599907</v>
      </c>
      <c r="F3" s="7" t="n">
        <v>75.09141325</v>
      </c>
      <c r="G3" s="7" t="n">
        <v>1.447541688</v>
      </c>
      <c r="H3" s="7" t="n">
        <v>14.56026288</v>
      </c>
      <c r="I3" s="7" t="n">
        <v>8.900782174</v>
      </c>
      <c r="J3" s="7" t="n">
        <v>66.32791521</v>
      </c>
      <c r="K3" s="7" t="n">
        <v>1.956824851</v>
      </c>
      <c r="L3" s="7" t="n">
        <v>19.68294895</v>
      </c>
      <c r="M3" s="7" t="n">
        <v>12.03231098</v>
      </c>
      <c r="N3" s="7" t="n">
        <v>100</v>
      </c>
      <c r="O3" s="7" t="n">
        <v>0</v>
      </c>
      <c r="P3" s="7" t="n">
        <v>0</v>
      </c>
      <c r="Q3" s="7" t="n">
        <v>0</v>
      </c>
      <c r="R3" s="8" t="str">
        <f aca="false">IF($A3=$A4,$C4-$C3,"")</f>
        <v/>
      </c>
      <c r="S3" s="9" t="str">
        <f aca="false">IF(AND($A3=$A4,ISNUMBER(F3),ISNUMBER(F4)),(F4-F3)/($C4-$C3),"")</f>
        <v/>
      </c>
      <c r="T3" s="9" t="str">
        <f aca="false">IF(AND($A3=$A4,ISNUMBER(J3),ISNUMBER(J4)),(J4-J3)/($C4-$C3),"")</f>
        <v/>
      </c>
      <c r="U3" s="9" t="str">
        <f aca="false">IF(AND($A3=$A4,ISNUMBER(N3),ISNUMBER(N4)),(N4-N3)/($C4-$C3),"")</f>
        <v/>
      </c>
      <c r="V3" s="8" t="n">
        <f aca="false">IF(ISNUMBER(F3),ROUND(F3,0),"")</f>
        <v>75</v>
      </c>
      <c r="W3" s="8" t="n">
        <f aca="false">IF(ISNUMBER(J3),ROUND(J3,0),"")</f>
        <v>66</v>
      </c>
      <c r="X3" s="8" t="n">
        <f aca="false">IF(ISNUMBER(N3),ROUND(N3,0),"")</f>
        <v>100</v>
      </c>
      <c r="Y3" s="4" t="str">
        <f aca="false">IF(AND($A3=$A4,V3=100,V4=100),"full access","")</f>
        <v/>
      </c>
      <c r="Z3" s="4" t="str">
        <f aca="false">IF(AND($A3=$A4,W3=100,W4=100),"full access","")</f>
        <v/>
      </c>
      <c r="AA3" s="4" t="str">
        <f aca="false">IF(AND($A3=$A4,X3=100,X4=100),"full access","")</f>
        <v/>
      </c>
      <c r="AB3" s="9" t="str">
        <f aca="false">IF(AND(ISNUMBER(T3),ISNUMBER(U3)),T3-U3,"")</f>
        <v/>
      </c>
    </row>
    <row r="4" customFormat="false" ht="15" hidden="false" customHeight="false" outlineLevel="0" collapsed="false">
      <c r="A4" s="10" t="s">
        <v>84</v>
      </c>
      <c r="B4" s="10" t="str">
        <f aca="false">IFERROR(INDEX('Region Lookup'!$B$2:$B$233,MATCH(A4,'Region Lookup'!$A$2:$A$233,0)),"Not found")</f>
        <v>Europe &amp; Central Asia</v>
      </c>
      <c r="C4" s="10" t="n">
        <v>2015</v>
      </c>
      <c r="D4" s="11" t="n">
        <v>2890.523926</v>
      </c>
      <c r="E4" s="12" t="n">
        <v>57.43399811</v>
      </c>
      <c r="F4" s="12" t="n">
        <v>93.39432534</v>
      </c>
      <c r="G4" s="12" t="n">
        <v>3.626383658</v>
      </c>
      <c r="H4" s="12" t="n">
        <v>2.979291004</v>
      </c>
      <c r="I4" s="12" t="n">
        <v>0</v>
      </c>
      <c r="J4" s="12" t="n">
        <v>90.62727461</v>
      </c>
      <c r="K4" s="12" t="n">
        <v>5.263172648</v>
      </c>
      <c r="L4" s="12" t="n">
        <v>4.109552744</v>
      </c>
      <c r="M4" s="12" t="n">
        <v>0</v>
      </c>
      <c r="N4" s="12" t="n">
        <v>95.44506696</v>
      </c>
      <c r="O4" s="12" t="n">
        <v>2.41331182</v>
      </c>
      <c r="P4" s="12" t="n">
        <v>2.141621216</v>
      </c>
      <c r="Q4" s="12" t="n">
        <v>0</v>
      </c>
      <c r="R4" s="13" t="n">
        <f aca="false">IF($A4=$A5,$C5-$C4,"")</f>
        <v>5</v>
      </c>
      <c r="S4" s="14" t="n">
        <f aca="false">IF(AND($A4=$A5,ISNUMBER(F4),ISNUMBER(F5)),(F5-F4)/($C5-$C4),"")</f>
        <v>0.334742698000002</v>
      </c>
      <c r="T4" s="14" t="n">
        <f aca="false">IF(AND($A4=$A5,ISNUMBER(J4),ISNUMBER(J5)),(J5-J4)/($C5-$C4),"")</f>
        <v>0.692816690000001</v>
      </c>
      <c r="U4" s="14" t="n">
        <f aca="false">IF(AND($A4=$A5,ISNUMBER(N4),ISNUMBER(N5)),(N5-N4)/($C5-$C4),"")</f>
        <v>0.0437484319999982</v>
      </c>
      <c r="V4" s="13" t="n">
        <f aca="false">IF(ISNUMBER(F4),ROUND(F4,0),"")</f>
        <v>93</v>
      </c>
      <c r="W4" s="13" t="n">
        <f aca="false">IF(ISNUMBER(J4),ROUND(J4,0),"")</f>
        <v>91</v>
      </c>
      <c r="X4" s="13" t="n">
        <f aca="false">IF(ISNUMBER(N4),ROUND(N4,0),"")</f>
        <v>95</v>
      </c>
      <c r="Y4" s="10" t="str">
        <f aca="false">IF(AND($A4=$A5,V4=100,V5=100),"full access","")</f>
        <v/>
      </c>
      <c r="Z4" s="10" t="str">
        <f aca="false">IF(AND($A4=$A5,W4=100,W5=100),"full access","")</f>
        <v/>
      </c>
      <c r="AA4" s="10" t="str">
        <f aca="false">IF(AND($A4=$A5,X4=100,X5=100),"full access","")</f>
        <v/>
      </c>
      <c r="AB4" s="14" t="n">
        <f aca="false">IF(AND(ISNUMBER(T4),ISNUMBER(U4)),T4-U4,"")</f>
        <v>0.649068258000003</v>
      </c>
    </row>
    <row r="5" customFormat="false" ht="15" hidden="false" customHeight="false" outlineLevel="0" collapsed="false">
      <c r="A5" s="10" t="s">
        <v>84</v>
      </c>
      <c r="B5" s="10" t="str">
        <f aca="false">IFERROR(INDEX('Region Lookup'!$B$2:$B$233,MATCH(A5,'Region Lookup'!$A$2:$A$233,0)),"Not found")</f>
        <v>Europe &amp; Central Asia</v>
      </c>
      <c r="C5" s="10" t="n">
        <v>2020</v>
      </c>
      <c r="D5" s="11" t="n">
        <v>2877.800049</v>
      </c>
      <c r="E5" s="12" t="n">
        <v>62.11199951</v>
      </c>
      <c r="F5" s="12" t="n">
        <v>95.06803883</v>
      </c>
      <c r="G5" s="12" t="n">
        <v>1.884656092</v>
      </c>
      <c r="H5" s="12" t="n">
        <v>3.047305081</v>
      </c>
      <c r="I5" s="12" t="n">
        <v>0</v>
      </c>
      <c r="J5" s="12" t="n">
        <v>94.09135806</v>
      </c>
      <c r="K5" s="12" t="n">
        <v>2.305264955</v>
      </c>
      <c r="L5" s="12" t="n">
        <v>3.603376986</v>
      </c>
      <c r="M5" s="12" t="n">
        <v>0</v>
      </c>
      <c r="N5" s="12" t="n">
        <v>95.66380912</v>
      </c>
      <c r="O5" s="12" t="n">
        <v>1.62808683</v>
      </c>
      <c r="P5" s="12" t="n">
        <v>2.708104054</v>
      </c>
      <c r="Q5" s="12" t="n">
        <v>0</v>
      </c>
      <c r="R5" s="13" t="str">
        <f aca="false">IF($A5=$A6,$C6-$C5,"")</f>
        <v/>
      </c>
      <c r="S5" s="14" t="str">
        <f aca="false">IF(AND($A5=$A6,ISNUMBER(F5),ISNUMBER(F6)),(F6-F5)/($C6-$C5),"")</f>
        <v/>
      </c>
      <c r="T5" s="14" t="str">
        <f aca="false">IF(AND($A5=$A6,ISNUMBER(J5),ISNUMBER(J6)),(J6-J5)/($C6-$C5),"")</f>
        <v/>
      </c>
      <c r="U5" s="14" t="str">
        <f aca="false">IF(AND($A5=$A6,ISNUMBER(N5),ISNUMBER(N6)),(N6-N5)/($C6-$C5),"")</f>
        <v/>
      </c>
      <c r="V5" s="13" t="n">
        <f aca="false">IF(ISNUMBER(F5),ROUND(F5,0),"")</f>
        <v>95</v>
      </c>
      <c r="W5" s="13" t="n">
        <f aca="false">IF(ISNUMBER(J5),ROUND(J5,0),"")</f>
        <v>94</v>
      </c>
      <c r="X5" s="13" t="n">
        <f aca="false">IF(ISNUMBER(N5),ROUND(N5,0),"")</f>
        <v>96</v>
      </c>
      <c r="Y5" s="10" t="str">
        <f aca="false">IF(AND($A5=$A6,V5=100,V6=100),"full access","")</f>
        <v/>
      </c>
      <c r="Z5" s="10" t="str">
        <f aca="false">IF(AND($A5=$A6,W5=100,W6=100),"full access","")</f>
        <v/>
      </c>
      <c r="AA5" s="10" t="str">
        <f aca="false">IF(AND($A5=$A6,X5=100,X6=100),"full access","")</f>
        <v/>
      </c>
      <c r="AB5" s="14" t="str">
        <f aca="false">IF(AND(ISNUMBER(T5),ISNUMBER(U5)),T5-U5,"")</f>
        <v/>
      </c>
    </row>
    <row r="6" customFormat="false" ht="15" hidden="false" customHeight="false" outlineLevel="0" collapsed="false">
      <c r="A6" s="4" t="s">
        <v>85</v>
      </c>
      <c r="B6" s="4" t="str">
        <f aca="false">IFERROR(INDEX('Region Lookup'!$B$2:$B$233,MATCH(A6,'Region Lookup'!$A$2:$A$233,0)),"Not found")</f>
        <v>Middle East &amp; North Africa</v>
      </c>
      <c r="C6" s="4" t="n">
        <v>2015</v>
      </c>
      <c r="D6" s="6" t="n">
        <v>39728.01953</v>
      </c>
      <c r="E6" s="7" t="n">
        <v>70.84799957</v>
      </c>
      <c r="F6" s="7" t="n">
        <v>93.40956153</v>
      </c>
      <c r="G6" s="7" t="n">
        <v>5.157780893</v>
      </c>
      <c r="H6" s="7" t="n">
        <v>1.275464684</v>
      </c>
      <c r="I6" s="7" t="n">
        <v>0.1571928913</v>
      </c>
      <c r="J6" s="7" t="n">
        <v>88.35270686</v>
      </c>
      <c r="K6" s="7" t="n">
        <v>8.685753121</v>
      </c>
      <c r="L6" s="7" t="n">
        <v>2.580431801</v>
      </c>
      <c r="M6" s="7" t="n">
        <v>0.3811082155</v>
      </c>
      <c r="N6" s="7" t="n">
        <v>95.4903147</v>
      </c>
      <c r="O6" s="7" t="n">
        <v>3.706117317</v>
      </c>
      <c r="P6" s="7" t="n">
        <v>0.7385100851</v>
      </c>
      <c r="Q6" s="7" t="n">
        <v>0.06505789753</v>
      </c>
      <c r="R6" s="8" t="n">
        <f aca="false">IF($A6=$A7,$C7-$C6,"")</f>
        <v>5</v>
      </c>
      <c r="S6" s="9" t="n">
        <f aca="false">IF(AND($A6=$A7,ISNUMBER(F6),ISNUMBER(F7)),(F7-F6)/($C7-$C6),"")</f>
        <v>0.205553685999999</v>
      </c>
      <c r="T6" s="9" t="n">
        <f aca="false">IF(AND($A6=$A7,ISNUMBER(J6),ISNUMBER(J7)),(J7-J6)/($C7-$C6),"")</f>
        <v>0.33696621</v>
      </c>
      <c r="U6" s="9" t="n">
        <f aca="false">IF(AND($A6=$A7,ISNUMBER(N6),ISNUMBER(N7)),(N7-N6)/($C7-$C6),"")</f>
        <v>0.102884232</v>
      </c>
      <c r="V6" s="8" t="n">
        <f aca="false">IF(ISNUMBER(F6),ROUND(F6,0),"")</f>
        <v>93</v>
      </c>
      <c r="W6" s="8" t="n">
        <f aca="false">IF(ISNUMBER(J6),ROUND(J6,0),"")</f>
        <v>88</v>
      </c>
      <c r="X6" s="8" t="n">
        <f aca="false">IF(ISNUMBER(N6),ROUND(N6,0),"")</f>
        <v>95</v>
      </c>
      <c r="Y6" s="4" t="str">
        <f aca="false">IF(AND($A6=$A7,V6=100,V7=100),"full access","")</f>
        <v/>
      </c>
      <c r="Z6" s="4" t="str">
        <f aca="false">IF(AND($A6=$A7,W6=100,W7=100),"full access","")</f>
        <v/>
      </c>
      <c r="AA6" s="4" t="str">
        <f aca="false">IF(AND($A6=$A7,X6=100,X7=100),"full access","")</f>
        <v/>
      </c>
      <c r="AB6" s="9" t="n">
        <f aca="false">IF(AND(ISNUMBER(T6),ISNUMBER(U6)),T6-U6,"")</f>
        <v>0.234081978</v>
      </c>
    </row>
    <row r="7" customFormat="false" ht="15" hidden="false" customHeight="false" outlineLevel="0" collapsed="false">
      <c r="A7" s="4" t="s">
        <v>85</v>
      </c>
      <c r="B7" s="4" t="str">
        <f aca="false">IFERROR(INDEX('Region Lookup'!$B$2:$B$233,MATCH(A7,'Region Lookup'!$A$2:$A$233,0)),"Not found")</f>
        <v>Middle East &amp; North Africa</v>
      </c>
      <c r="C7" s="4" t="n">
        <v>2020</v>
      </c>
      <c r="D7" s="6" t="n">
        <v>43851.04297</v>
      </c>
      <c r="E7" s="7" t="n">
        <v>73.73300171</v>
      </c>
      <c r="F7" s="7" t="n">
        <v>94.43732996</v>
      </c>
      <c r="G7" s="7" t="n">
        <v>4.985880842</v>
      </c>
      <c r="H7" s="7" t="n">
        <v>0.5318366638</v>
      </c>
      <c r="I7" s="7" t="n">
        <v>0.04495253272</v>
      </c>
      <c r="J7" s="7" t="n">
        <v>90.03753791</v>
      </c>
      <c r="K7" s="7" t="n">
        <v>8.79672214</v>
      </c>
      <c r="L7" s="7" t="n">
        <v>0.9946030281</v>
      </c>
      <c r="M7" s="7" t="n">
        <v>0.1711369258</v>
      </c>
      <c r="N7" s="7" t="n">
        <v>96.00473586</v>
      </c>
      <c r="O7" s="7" t="n">
        <v>3.628288591</v>
      </c>
      <c r="P7" s="7" t="n">
        <v>0.3669755478</v>
      </c>
      <c r="Q7" s="7" t="n">
        <v>0</v>
      </c>
      <c r="R7" s="8" t="str">
        <f aca="false">IF($A7=$A8,$C8-$C7,"")</f>
        <v/>
      </c>
      <c r="S7" s="9" t="str">
        <f aca="false">IF(AND($A7=$A8,ISNUMBER(F7),ISNUMBER(F8)),(F8-F7)/($C8-$C7),"")</f>
        <v/>
      </c>
      <c r="T7" s="9" t="str">
        <f aca="false">IF(AND($A7=$A8,ISNUMBER(J7),ISNUMBER(J8)),(J8-J7)/($C8-$C7),"")</f>
        <v/>
      </c>
      <c r="U7" s="9" t="str">
        <f aca="false">IF(AND($A7=$A8,ISNUMBER(N7),ISNUMBER(N8)),(N8-N7)/($C8-$C7),"")</f>
        <v/>
      </c>
      <c r="V7" s="8" t="n">
        <f aca="false">IF(ISNUMBER(F7),ROUND(F7,0),"")</f>
        <v>94</v>
      </c>
      <c r="W7" s="8" t="n">
        <f aca="false">IF(ISNUMBER(J7),ROUND(J7,0),"")</f>
        <v>90</v>
      </c>
      <c r="X7" s="8" t="n">
        <f aca="false">IF(ISNUMBER(N7),ROUND(N7,0),"")</f>
        <v>96</v>
      </c>
      <c r="Y7" s="4" t="str">
        <f aca="false">IF(AND($A7=$A8,V7=100,V8=100),"full access","")</f>
        <v/>
      </c>
      <c r="Z7" s="4" t="str">
        <f aca="false">IF(AND($A7=$A8,W7=100,W8=100),"full access","")</f>
        <v/>
      </c>
      <c r="AA7" s="4" t="str">
        <f aca="false">IF(AND($A7=$A8,X7=100,X8=100),"full access","")</f>
        <v/>
      </c>
      <c r="AB7" s="9" t="str">
        <f aca="false">IF(AND(ISNUMBER(T7),ISNUMBER(U7)),T7-U7,"")</f>
        <v/>
      </c>
    </row>
    <row r="8" customFormat="false" ht="15" hidden="false" customHeight="false" outlineLevel="0" collapsed="false">
      <c r="A8" s="10" t="s">
        <v>86</v>
      </c>
      <c r="B8" s="10" t="str">
        <f aca="false">IFERROR(INDEX('Region Lookup'!$B$2:$B$233,MATCH(A8,'Region Lookup'!$A$2:$A$233,0)),"Not found")</f>
        <v>East Asia &amp; Pacific</v>
      </c>
      <c r="C8" s="10" t="n">
        <v>2015</v>
      </c>
      <c r="D8" s="11" t="n">
        <v>55.80599976</v>
      </c>
      <c r="E8" s="12" t="n">
        <v>87.23800659</v>
      </c>
      <c r="F8" s="12" t="n">
        <v>99.61910315</v>
      </c>
      <c r="G8" s="12" t="n">
        <v>0</v>
      </c>
      <c r="H8" s="12" t="n">
        <v>0.3808968461</v>
      </c>
      <c r="I8" s="12" t="n">
        <v>0</v>
      </c>
      <c r="J8" s="12"/>
      <c r="K8" s="12"/>
      <c r="L8" s="12"/>
      <c r="M8" s="12"/>
      <c r="N8" s="12"/>
      <c r="O8" s="12"/>
      <c r="P8" s="12"/>
      <c r="Q8" s="12"/>
      <c r="R8" s="13" t="n">
        <f aca="false">IF($A8=$A9,$C9-$C8,"")</f>
        <v>5</v>
      </c>
      <c r="S8" s="14" t="n">
        <f aca="false">IF(AND($A8=$A9,ISNUMBER(F8),ISNUMBER(F9)),(F9-F8)/($C9-$C8),"")</f>
        <v>0.0309337019999987</v>
      </c>
      <c r="T8" s="14" t="str">
        <f aca="false">IF(AND($A8=$A9,ISNUMBER(J8),ISNUMBER(J9)),(J9-J8)/($C9-$C8),"")</f>
        <v/>
      </c>
      <c r="U8" s="14" t="str">
        <f aca="false">IF(AND($A8=$A9,ISNUMBER(N8),ISNUMBER(N9)),(N9-N8)/($C9-$C8),"")</f>
        <v/>
      </c>
      <c r="V8" s="13" t="n">
        <f aca="false">IF(ISNUMBER(F8),ROUND(F8,0),"")</f>
        <v>100</v>
      </c>
      <c r="W8" s="13" t="str">
        <f aca="false">IF(ISNUMBER(J8),ROUND(J8,0),"")</f>
        <v/>
      </c>
      <c r="X8" s="13" t="str">
        <f aca="false">IF(ISNUMBER(N8),ROUND(N8,0),"")</f>
        <v/>
      </c>
      <c r="Y8" s="10" t="str">
        <f aca="false">IF(AND($A8=$A9,V8=100,V9=100),"full access","")</f>
        <v>full access</v>
      </c>
      <c r="Z8" s="10" t="str">
        <f aca="false">IF(AND($A8=$A9,W8=100,W9=100),"full access","")</f>
        <v/>
      </c>
      <c r="AA8" s="10" t="str">
        <f aca="false">IF(AND($A8=$A9,X8=100,X9=100),"full access","")</f>
        <v/>
      </c>
      <c r="AB8" s="14" t="str">
        <f aca="false">IF(AND(ISNUMBER(T8),ISNUMBER(U8)),T8-U8,"")</f>
        <v/>
      </c>
    </row>
    <row r="9" customFormat="false" ht="15" hidden="false" customHeight="false" outlineLevel="0" collapsed="false">
      <c r="A9" s="10" t="s">
        <v>86</v>
      </c>
      <c r="B9" s="10" t="str">
        <f aca="false">IFERROR(INDEX('Region Lookup'!$B$2:$B$233,MATCH(A9,'Region Lookup'!$A$2:$A$233,0)),"Not found")</f>
        <v>East Asia &amp; Pacific</v>
      </c>
      <c r="C9" s="10" t="n">
        <v>2020</v>
      </c>
      <c r="D9" s="11" t="n">
        <v>55.1969986</v>
      </c>
      <c r="E9" s="12" t="n">
        <v>87.15299988</v>
      </c>
      <c r="F9" s="12" t="n">
        <v>99.77377166</v>
      </c>
      <c r="G9" s="12" t="n">
        <v>0</v>
      </c>
      <c r="H9" s="12" t="n">
        <v>0.2262283415</v>
      </c>
      <c r="I9" s="12" t="n">
        <v>0</v>
      </c>
      <c r="J9" s="12"/>
      <c r="K9" s="12"/>
      <c r="L9" s="12"/>
      <c r="M9" s="12"/>
      <c r="N9" s="12"/>
      <c r="O9" s="12"/>
      <c r="P9" s="12"/>
      <c r="Q9" s="12"/>
      <c r="R9" s="13" t="str">
        <f aca="false">IF($A9=$A10,$C10-$C9,"")</f>
        <v/>
      </c>
      <c r="S9" s="14" t="str">
        <f aca="false">IF(AND($A9=$A10,ISNUMBER(F9),ISNUMBER(F10)),(F10-F9)/($C10-$C9),"")</f>
        <v/>
      </c>
      <c r="T9" s="14" t="str">
        <f aca="false">IF(AND($A9=$A10,ISNUMBER(J9),ISNUMBER(J10)),(J10-J9)/($C10-$C9),"")</f>
        <v/>
      </c>
      <c r="U9" s="14" t="str">
        <f aca="false">IF(AND($A9=$A10,ISNUMBER(N9),ISNUMBER(N10)),(N10-N9)/($C10-$C9),"")</f>
        <v/>
      </c>
      <c r="V9" s="13" t="n">
        <f aca="false">IF(ISNUMBER(F9),ROUND(F9,0),"")</f>
        <v>100</v>
      </c>
      <c r="W9" s="13" t="str">
        <f aca="false">IF(ISNUMBER(J9),ROUND(J9,0),"")</f>
        <v/>
      </c>
      <c r="X9" s="13" t="str">
        <f aca="false">IF(ISNUMBER(N9),ROUND(N9,0),"")</f>
        <v/>
      </c>
      <c r="Y9" s="10" t="str">
        <f aca="false">IF(AND($A9=$A10,V9=100,V10=100),"full access","")</f>
        <v/>
      </c>
      <c r="Z9" s="10" t="str">
        <f aca="false">IF(AND($A9=$A10,W9=100,W10=100),"full access","")</f>
        <v/>
      </c>
      <c r="AA9" s="10" t="str">
        <f aca="false">IF(AND($A9=$A10,X9=100,X10=100),"full access","")</f>
        <v/>
      </c>
      <c r="AB9" s="14" t="str">
        <f aca="false">IF(AND(ISNUMBER(T9),ISNUMBER(U9)),T9-U9,"")</f>
        <v/>
      </c>
    </row>
    <row r="10" customFormat="false" ht="15" hidden="false" customHeight="false" outlineLevel="0" collapsed="false">
      <c r="A10" s="4" t="s">
        <v>87</v>
      </c>
      <c r="B10" s="4" t="str">
        <f aca="false">IFERROR(INDEX('Region Lookup'!$B$2:$B$233,MATCH(A10,'Region Lookup'!$A$2:$A$233,0)),"Not found")</f>
        <v>Europe &amp; Central Asia</v>
      </c>
      <c r="C10" s="4" t="n">
        <v>2015</v>
      </c>
      <c r="D10" s="6" t="n">
        <v>77.99299622</v>
      </c>
      <c r="E10" s="7" t="n">
        <v>88.34499359</v>
      </c>
      <c r="F10" s="7" t="n">
        <v>99.99999755</v>
      </c>
      <c r="G10" s="7" t="n">
        <v>0</v>
      </c>
      <c r="H10" s="7" t="n">
        <v>2.445538357E-006</v>
      </c>
      <c r="I10" s="7" t="n">
        <v>0</v>
      </c>
      <c r="J10" s="7" t="n">
        <v>100</v>
      </c>
      <c r="K10" s="7" t="n">
        <v>0</v>
      </c>
      <c r="L10" s="7" t="n">
        <v>0</v>
      </c>
      <c r="M10" s="7" t="n">
        <v>0</v>
      </c>
      <c r="N10" s="7" t="n">
        <v>100</v>
      </c>
      <c r="O10" s="7" t="n">
        <v>0</v>
      </c>
      <c r="P10" s="7" t="n">
        <v>0</v>
      </c>
      <c r="Q10" s="7" t="n">
        <v>0</v>
      </c>
      <c r="R10" s="8" t="n">
        <f aca="false">IF($A10=$A11,$C11-$C10,"")</f>
        <v>5</v>
      </c>
      <c r="S10" s="9" t="n">
        <f aca="false">IF(AND($A10=$A11,ISNUMBER(F10),ISNUMBER(F11)),(F11-F10)/($C11-$C10),"")</f>
        <v>1.22999999803142E-006</v>
      </c>
      <c r="T10" s="9" t="n">
        <f aca="false">IF(AND($A10=$A11,ISNUMBER(J10),ISNUMBER(J11)),(J11-J10)/($C11-$C10),"")</f>
        <v>0</v>
      </c>
      <c r="U10" s="9" t="n">
        <f aca="false">IF(AND($A10=$A11,ISNUMBER(N10),ISNUMBER(N11)),(N11-N10)/($C11-$C10),"")</f>
        <v>0</v>
      </c>
      <c r="V10" s="8" t="n">
        <f aca="false">IF(ISNUMBER(F10),ROUND(F10,0),"")</f>
        <v>100</v>
      </c>
      <c r="W10" s="8" t="n">
        <f aca="false">IF(ISNUMBER(J10),ROUND(J10,0),"")</f>
        <v>100</v>
      </c>
      <c r="X10" s="8" t="n">
        <f aca="false">IF(ISNUMBER(N10),ROUND(N10,0),"")</f>
        <v>100</v>
      </c>
      <c r="Y10" s="4" t="str">
        <f aca="false">IF(AND($A10=$A11,V10=100,V11=100),"full access","")</f>
        <v>full access</v>
      </c>
      <c r="Z10" s="4" t="str">
        <f aca="false">IF(AND($A10=$A11,W10=100,W11=100),"full access","")</f>
        <v>full access</v>
      </c>
      <c r="AA10" s="4" t="str">
        <f aca="false">IF(AND($A10=$A11,X10=100,X11=100),"full access","")</f>
        <v>full access</v>
      </c>
      <c r="AB10" s="9" t="n">
        <f aca="false">IF(AND(ISNUMBER(T10),ISNUMBER(U10)),T10-U10,"")</f>
        <v>0</v>
      </c>
    </row>
    <row r="11" customFormat="false" ht="15" hidden="false" customHeight="false" outlineLevel="0" collapsed="false">
      <c r="A11" s="4" t="s">
        <v>87</v>
      </c>
      <c r="B11" s="4" t="str">
        <f aca="false">IFERROR(INDEX('Region Lookup'!$B$2:$B$233,MATCH(A11,'Region Lookup'!$A$2:$A$233,0)),"Not found")</f>
        <v>Europe &amp; Central Asia</v>
      </c>
      <c r="C11" s="4" t="n">
        <v>2020</v>
      </c>
      <c r="D11" s="6" t="n">
        <v>77.26499939</v>
      </c>
      <c r="E11" s="7" t="n">
        <v>87.91600037</v>
      </c>
      <c r="F11" s="7" t="n">
        <v>100.0000037</v>
      </c>
      <c r="G11" s="7" t="n">
        <v>0</v>
      </c>
      <c r="H11" s="7" t="n">
        <v>0</v>
      </c>
      <c r="I11" s="7" t="n">
        <v>0</v>
      </c>
      <c r="J11" s="7" t="n">
        <v>100</v>
      </c>
      <c r="K11" s="7" t="n">
        <v>0</v>
      </c>
      <c r="L11" s="7" t="n">
        <v>0</v>
      </c>
      <c r="M11" s="7" t="n">
        <v>0</v>
      </c>
      <c r="N11" s="7" t="n">
        <v>100</v>
      </c>
      <c r="O11" s="7" t="n">
        <v>0</v>
      </c>
      <c r="P11" s="7" t="n">
        <v>0</v>
      </c>
      <c r="Q11" s="7" t="n">
        <v>0</v>
      </c>
      <c r="R11" s="8" t="str">
        <f aca="false">IF($A11=$A12,$C12-$C11,"")</f>
        <v/>
      </c>
      <c r="S11" s="9" t="str">
        <f aca="false">IF(AND($A11=$A12,ISNUMBER(F11),ISNUMBER(F12)),(F12-F11)/($C12-$C11),"")</f>
        <v/>
      </c>
      <c r="T11" s="9" t="str">
        <f aca="false">IF(AND($A11=$A12,ISNUMBER(J11),ISNUMBER(J12)),(J12-J11)/($C12-$C11),"")</f>
        <v/>
      </c>
      <c r="U11" s="9" t="str">
        <f aca="false">IF(AND($A11=$A12,ISNUMBER(N11),ISNUMBER(N12)),(N12-N11)/($C12-$C11),"")</f>
        <v/>
      </c>
      <c r="V11" s="8" t="n">
        <f aca="false">IF(ISNUMBER(F11),ROUND(F11,0),"")</f>
        <v>100</v>
      </c>
      <c r="W11" s="8" t="n">
        <f aca="false">IF(ISNUMBER(J11),ROUND(J11,0),"")</f>
        <v>100</v>
      </c>
      <c r="X11" s="8" t="n">
        <f aca="false">IF(ISNUMBER(N11),ROUND(N11,0),"")</f>
        <v>100</v>
      </c>
      <c r="Y11" s="4" t="str">
        <f aca="false">IF(AND($A11=$A12,V11=100,V12=100),"full access","")</f>
        <v/>
      </c>
      <c r="Z11" s="4" t="str">
        <f aca="false">IF(AND($A11=$A12,W11=100,W12=100),"full access","")</f>
        <v/>
      </c>
      <c r="AA11" s="4" t="str">
        <f aca="false">IF(AND($A11=$A12,X11=100,X12=100),"full access","")</f>
        <v/>
      </c>
      <c r="AB11" s="9" t="str">
        <f aca="false">IF(AND(ISNUMBER(T11),ISNUMBER(U11)),T11-U11,"")</f>
        <v/>
      </c>
    </row>
    <row r="12" customFormat="false" ht="15" hidden="false" customHeight="false" outlineLevel="0" collapsed="false">
      <c r="A12" s="10" t="s">
        <v>88</v>
      </c>
      <c r="B12" s="10" t="str">
        <f aca="false">IFERROR(INDEX('Region Lookup'!$B$2:$B$233,MATCH(A12,'Region Lookup'!$A$2:$A$233,0)),"Not found")</f>
        <v>Sub-Saharan Africa</v>
      </c>
      <c r="C12" s="10" t="n">
        <v>2015</v>
      </c>
      <c r="D12" s="11" t="n">
        <v>27884.38086</v>
      </c>
      <c r="E12" s="12" t="n">
        <v>63.44599533</v>
      </c>
      <c r="F12" s="12" t="n">
        <v>54.31692835</v>
      </c>
      <c r="G12" s="12" t="n">
        <v>11.36861866</v>
      </c>
      <c r="H12" s="12" t="n">
        <v>17.37235635</v>
      </c>
      <c r="I12" s="12" t="n">
        <v>16.94209664</v>
      </c>
      <c r="J12" s="12" t="n">
        <v>26.7143694</v>
      </c>
      <c r="K12" s="12" t="n">
        <v>9.931069288</v>
      </c>
      <c r="L12" s="12" t="n">
        <v>21.72530762</v>
      </c>
      <c r="M12" s="12" t="n">
        <v>41.62925369</v>
      </c>
      <c r="N12" s="12" t="n">
        <v>70.21996512</v>
      </c>
      <c r="O12" s="12" t="n">
        <v>12.19685349</v>
      </c>
      <c r="P12" s="12" t="n">
        <v>14.86443147</v>
      </c>
      <c r="Q12" s="12" t="n">
        <v>2.718749921</v>
      </c>
      <c r="R12" s="13" t="n">
        <f aca="false">IF($A12=$A13,$C13-$C12,"")</f>
        <v>5</v>
      </c>
      <c r="S12" s="14" t="n">
        <f aca="false">IF(AND($A12=$A13,ISNUMBER(F12),ISNUMBER(F13)),(F13-F12)/($C13-$C12),"")</f>
        <v>0.570161854</v>
      </c>
      <c r="T12" s="14" t="n">
        <f aca="false">IF(AND($A12=$A13,ISNUMBER(J12),ISNUMBER(J13)),(J13-J12)/($C13-$C12),"")</f>
        <v>0.218771442</v>
      </c>
      <c r="U12" s="14" t="n">
        <f aca="false">IF(AND($A12=$A13,ISNUMBER(N12),ISNUMBER(N13)),(N13-N12)/($C13-$C12),"")</f>
        <v>0.3046367</v>
      </c>
      <c r="V12" s="13" t="n">
        <f aca="false">IF(ISNUMBER(F12),ROUND(F12,0),"")</f>
        <v>54</v>
      </c>
      <c r="W12" s="13" t="n">
        <f aca="false">IF(ISNUMBER(J12),ROUND(J12,0),"")</f>
        <v>27</v>
      </c>
      <c r="X12" s="13" t="n">
        <f aca="false">IF(ISNUMBER(N12),ROUND(N12,0),"")</f>
        <v>70</v>
      </c>
      <c r="Y12" s="10" t="str">
        <f aca="false">IF(AND($A12=$A13,V12=100,V13=100),"full access","")</f>
        <v/>
      </c>
      <c r="Z12" s="10" t="str">
        <f aca="false">IF(AND($A12=$A13,W12=100,W13=100),"full access","")</f>
        <v/>
      </c>
      <c r="AA12" s="10" t="str">
        <f aca="false">IF(AND($A12=$A13,X12=100,X13=100),"full access","")</f>
        <v/>
      </c>
      <c r="AB12" s="14" t="n">
        <f aca="false">IF(AND(ISNUMBER(T12),ISNUMBER(U12)),T12-U12,"")</f>
        <v>-0.0858652580000005</v>
      </c>
    </row>
    <row r="13" customFormat="false" ht="15" hidden="false" customHeight="false" outlineLevel="0" collapsed="false">
      <c r="A13" s="10" t="s">
        <v>88</v>
      </c>
      <c r="B13" s="10" t="str">
        <f aca="false">IFERROR(INDEX('Region Lookup'!$B$2:$B$233,MATCH(A13,'Region Lookup'!$A$2:$A$233,0)),"Not found")</f>
        <v>Sub-Saharan Africa</v>
      </c>
      <c r="C13" s="10" t="n">
        <v>2020</v>
      </c>
      <c r="D13" s="11" t="n">
        <v>32866.26953</v>
      </c>
      <c r="E13" s="12" t="n">
        <v>66.82499695</v>
      </c>
      <c r="F13" s="12" t="n">
        <v>57.16773762</v>
      </c>
      <c r="G13" s="12" t="n">
        <v>9.287349919</v>
      </c>
      <c r="H13" s="12" t="n">
        <v>19.45082534</v>
      </c>
      <c r="I13" s="12" t="n">
        <v>14.09408712</v>
      </c>
      <c r="J13" s="12" t="n">
        <v>27.80822661</v>
      </c>
      <c r="K13" s="12" t="n">
        <v>8.740488389</v>
      </c>
      <c r="L13" s="12" t="n">
        <v>22.93315258</v>
      </c>
      <c r="M13" s="12" t="n">
        <v>40.51813242</v>
      </c>
      <c r="N13" s="12" t="n">
        <v>71.74314862</v>
      </c>
      <c r="O13" s="12" t="n">
        <v>9.558837489</v>
      </c>
      <c r="P13" s="12" t="n">
        <v>17.72203473</v>
      </c>
      <c r="Q13" s="12" t="n">
        <v>0.9759791629</v>
      </c>
      <c r="R13" s="13" t="str">
        <f aca="false">IF($A13=$A14,$C14-$C13,"")</f>
        <v/>
      </c>
      <c r="S13" s="14" t="str">
        <f aca="false">IF(AND($A13=$A14,ISNUMBER(F13),ISNUMBER(F14)),(F14-F13)/($C14-$C13),"")</f>
        <v/>
      </c>
      <c r="T13" s="14" t="str">
        <f aca="false">IF(AND($A13=$A14,ISNUMBER(J13),ISNUMBER(J14)),(J14-J13)/($C14-$C13),"")</f>
        <v/>
      </c>
      <c r="U13" s="14" t="str">
        <f aca="false">IF(AND($A13=$A14,ISNUMBER(N13),ISNUMBER(N14)),(N14-N13)/($C14-$C13),"")</f>
        <v/>
      </c>
      <c r="V13" s="13" t="n">
        <f aca="false">IF(ISNUMBER(F13),ROUND(F13,0),"")</f>
        <v>57</v>
      </c>
      <c r="W13" s="13" t="n">
        <f aca="false">IF(ISNUMBER(J13),ROUND(J13,0),"")</f>
        <v>28</v>
      </c>
      <c r="X13" s="13" t="n">
        <f aca="false">IF(ISNUMBER(N13),ROUND(N13,0),"")</f>
        <v>72</v>
      </c>
      <c r="Y13" s="10" t="str">
        <f aca="false">IF(AND($A13=$A14,V13=100,V14=100),"full access","")</f>
        <v/>
      </c>
      <c r="Z13" s="10" t="str">
        <f aca="false">IF(AND($A13=$A14,W13=100,W14=100),"full access","")</f>
        <v/>
      </c>
      <c r="AA13" s="10" t="str">
        <f aca="false">IF(AND($A13=$A14,X13=100,X14=100),"full access","")</f>
        <v/>
      </c>
      <c r="AB13" s="14" t="str">
        <f aca="false">IF(AND(ISNUMBER(T13),ISNUMBER(U13)),T13-U13,"")</f>
        <v/>
      </c>
    </row>
    <row r="14" customFormat="false" ht="15" hidden="false" customHeight="false" outlineLevel="0" collapsed="false">
      <c r="A14" s="4" t="s">
        <v>89</v>
      </c>
      <c r="B14" s="4" t="str">
        <f aca="false">IFERROR(INDEX('Region Lookup'!$B$2:$B$233,MATCH(A14,'Region Lookup'!$A$2:$A$233,0)),"Not found")</f>
        <v>Latin America &amp; Caribbean</v>
      </c>
      <c r="C14" s="4" t="n">
        <v>2015</v>
      </c>
      <c r="D14" s="6" t="n">
        <v>14.27900028</v>
      </c>
      <c r="E14" s="7" t="n">
        <v>100</v>
      </c>
      <c r="F14" s="7" t="n">
        <v>97.48227425</v>
      </c>
      <c r="G14" s="7" t="n">
        <v>0</v>
      </c>
      <c r="H14" s="7" t="n">
        <v>2.517725753</v>
      </c>
      <c r="I14" s="7" t="n">
        <v>0</v>
      </c>
      <c r="J14" s="7"/>
      <c r="K14" s="7"/>
      <c r="L14" s="7"/>
      <c r="M14" s="7"/>
      <c r="N14" s="7" t="n">
        <v>97.48227425</v>
      </c>
      <c r="O14" s="7" t="n">
        <v>0</v>
      </c>
      <c r="P14" s="7" t="n">
        <v>2.517725753</v>
      </c>
      <c r="Q14" s="7" t="n">
        <v>0</v>
      </c>
      <c r="R14" s="8" t="n">
        <f aca="false">IF($A14=$A15,$C15-$C14,"")</f>
        <v>2</v>
      </c>
      <c r="S14" s="9" t="n">
        <f aca="false">IF(AND($A14=$A15,ISNUMBER(F14),ISNUMBER(F15)),(F15-F14)/($C15-$C14),"")</f>
        <v>0</v>
      </c>
      <c r="T14" s="9" t="str">
        <f aca="false">IF(AND($A14=$A15,ISNUMBER(J14),ISNUMBER(J15)),(J15-J14)/($C15-$C14),"")</f>
        <v/>
      </c>
      <c r="U14" s="9" t="n">
        <f aca="false">IF(AND($A14=$A15,ISNUMBER(N14),ISNUMBER(N15)),(N15-N14)/($C15-$C14),"")</f>
        <v>0</v>
      </c>
      <c r="V14" s="8" t="n">
        <f aca="false">IF(ISNUMBER(F14),ROUND(F14,0),"")</f>
        <v>97</v>
      </c>
      <c r="W14" s="8" t="str">
        <f aca="false">IF(ISNUMBER(J14),ROUND(J14,0),"")</f>
        <v/>
      </c>
      <c r="X14" s="8" t="n">
        <f aca="false">IF(ISNUMBER(N14),ROUND(N14,0),"")</f>
        <v>97</v>
      </c>
      <c r="Y14" s="4" t="str">
        <f aca="false">IF(AND($A14=$A15,V14=100,V15=100),"full access","")</f>
        <v/>
      </c>
      <c r="Z14" s="4" t="str">
        <f aca="false">IF(AND($A14=$A15,W14=100,W15=100),"full access","")</f>
        <v/>
      </c>
      <c r="AA14" s="4" t="str">
        <f aca="false">IF(AND($A14=$A15,X14=100,X15=100),"full access","")</f>
        <v/>
      </c>
      <c r="AB14" s="9" t="str">
        <f aca="false">IF(AND(ISNUMBER(T14),ISNUMBER(U14)),T14-U14,"")</f>
        <v/>
      </c>
    </row>
    <row r="15" customFormat="false" ht="15" hidden="false" customHeight="false" outlineLevel="0" collapsed="false">
      <c r="A15" s="4" t="s">
        <v>89</v>
      </c>
      <c r="B15" s="4" t="str">
        <f aca="false">IFERROR(INDEX('Region Lookup'!$B$2:$B$233,MATCH(A15,'Region Lookup'!$A$2:$A$233,0)),"Not found")</f>
        <v>Latin America &amp; Caribbean</v>
      </c>
      <c r="C15" s="4" t="n">
        <v>2017</v>
      </c>
      <c r="D15" s="6" t="n">
        <v>14.5880003</v>
      </c>
      <c r="E15" s="7" t="n">
        <v>100</v>
      </c>
      <c r="F15" s="7" t="n">
        <v>97.48227425</v>
      </c>
      <c r="G15" s="7" t="n">
        <v>0</v>
      </c>
      <c r="H15" s="7" t="n">
        <v>2.517725753</v>
      </c>
      <c r="I15" s="7" t="n">
        <v>0</v>
      </c>
      <c r="J15" s="7"/>
      <c r="K15" s="7"/>
      <c r="L15" s="7"/>
      <c r="M15" s="7"/>
      <c r="N15" s="7" t="n">
        <v>97.48227425</v>
      </c>
      <c r="O15" s="7" t="n">
        <v>0</v>
      </c>
      <c r="P15" s="7" t="n">
        <v>2.517725753</v>
      </c>
      <c r="Q15" s="7" t="n">
        <v>0</v>
      </c>
      <c r="R15" s="8" t="str">
        <f aca="false">IF($A15=$A16,$C16-$C15,"")</f>
        <v/>
      </c>
      <c r="S15" s="9" t="str">
        <f aca="false">IF(AND($A15=$A16,ISNUMBER(F15),ISNUMBER(F16)),(F16-F15)/($C16-$C15),"")</f>
        <v/>
      </c>
      <c r="T15" s="9" t="str">
        <f aca="false">IF(AND($A15=$A16,ISNUMBER(J15),ISNUMBER(J16)),(J16-J15)/($C16-$C15),"")</f>
        <v/>
      </c>
      <c r="U15" s="9" t="str">
        <f aca="false">IF(AND($A15=$A16,ISNUMBER(N15),ISNUMBER(N16)),(N16-N15)/($C16-$C15),"")</f>
        <v/>
      </c>
      <c r="V15" s="8" t="n">
        <f aca="false">IF(ISNUMBER(F15),ROUND(F15,0),"")</f>
        <v>97</v>
      </c>
      <c r="W15" s="8" t="str">
        <f aca="false">IF(ISNUMBER(J15),ROUND(J15,0),"")</f>
        <v/>
      </c>
      <c r="X15" s="8" t="n">
        <f aca="false">IF(ISNUMBER(N15),ROUND(N15,0),"")</f>
        <v>97</v>
      </c>
      <c r="Y15" s="4" t="str">
        <f aca="false">IF(AND($A15=$A16,V15=100,V16=100),"full access","")</f>
        <v/>
      </c>
      <c r="Z15" s="4" t="str">
        <f aca="false">IF(AND($A15=$A16,W15=100,W16=100),"full access","")</f>
        <v/>
      </c>
      <c r="AA15" s="4" t="str">
        <f aca="false">IF(AND($A15=$A16,X15=100,X16=100),"full access","")</f>
        <v/>
      </c>
      <c r="AB15" s="9" t="str">
        <f aca="false">IF(AND(ISNUMBER(T15),ISNUMBER(U15)),T15-U15,"")</f>
        <v/>
      </c>
    </row>
    <row r="16" customFormat="false" ht="15" hidden="false" customHeight="false" outlineLevel="0" collapsed="false">
      <c r="A16" s="10" t="s">
        <v>90</v>
      </c>
      <c r="B16" s="10" t="str">
        <f aca="false">IFERROR(INDEX('Region Lookup'!$B$2:$B$233,MATCH(A16,'Region Lookup'!$A$2:$A$233,0)),"Not found")</f>
        <v>Latin America &amp; Caribbean</v>
      </c>
      <c r="C16" s="10" t="n">
        <v>2015</v>
      </c>
      <c r="D16" s="11" t="n">
        <v>93.57099915</v>
      </c>
      <c r="E16" s="12" t="n">
        <v>25</v>
      </c>
      <c r="F16" s="12" t="n">
        <v>96.73918628</v>
      </c>
      <c r="G16" s="12" t="n">
        <v>0</v>
      </c>
      <c r="H16" s="12" t="n">
        <v>3.16634761</v>
      </c>
      <c r="I16" s="12" t="n">
        <v>0.09446611409</v>
      </c>
      <c r="J16" s="12"/>
      <c r="K16" s="12"/>
      <c r="L16" s="12"/>
      <c r="M16" s="12"/>
      <c r="N16" s="12"/>
      <c r="O16" s="12"/>
      <c r="P16" s="12"/>
      <c r="Q16" s="12"/>
      <c r="R16" s="13" t="n">
        <f aca="false">IF($A16=$A17,$C17-$C16,"")</f>
        <v>2</v>
      </c>
      <c r="S16" s="14" t="n">
        <f aca="false">IF(AND($A16=$A17,ISNUMBER(F16),ISNUMBER(F17)),(F17-F16)/($C17-$C16),"")</f>
        <v>0</v>
      </c>
      <c r="T16" s="14" t="str">
        <f aca="false">IF(AND($A16=$A17,ISNUMBER(J16),ISNUMBER(J17)),(J17-J16)/($C17-$C16),"")</f>
        <v/>
      </c>
      <c r="U16" s="14" t="str">
        <f aca="false">IF(AND($A16=$A17,ISNUMBER(N16),ISNUMBER(N17)),(N17-N16)/($C17-$C16),"")</f>
        <v/>
      </c>
      <c r="V16" s="13" t="n">
        <f aca="false">IF(ISNUMBER(F16),ROUND(F16,0),"")</f>
        <v>97</v>
      </c>
      <c r="W16" s="13" t="str">
        <f aca="false">IF(ISNUMBER(J16),ROUND(J16,0),"")</f>
        <v/>
      </c>
      <c r="X16" s="13" t="str">
        <f aca="false">IF(ISNUMBER(N16),ROUND(N16,0),"")</f>
        <v/>
      </c>
      <c r="Y16" s="10" t="str">
        <f aca="false">IF(AND($A16=$A17,V16=100,V17=100),"full access","")</f>
        <v/>
      </c>
      <c r="Z16" s="10" t="str">
        <f aca="false">IF(AND($A16=$A17,W16=100,W17=100),"full access","")</f>
        <v/>
      </c>
      <c r="AA16" s="10" t="str">
        <f aca="false">IF(AND($A16=$A17,X16=100,X17=100),"full access","")</f>
        <v/>
      </c>
      <c r="AB16" s="14" t="str">
        <f aca="false">IF(AND(ISNUMBER(T16),ISNUMBER(U16)),T16-U16,"")</f>
        <v/>
      </c>
    </row>
    <row r="17" customFormat="false" ht="15" hidden="false" customHeight="false" outlineLevel="0" collapsed="false">
      <c r="A17" s="10" t="s">
        <v>90</v>
      </c>
      <c r="B17" s="10" t="str">
        <f aca="false">IFERROR(INDEX('Region Lookup'!$B$2:$B$233,MATCH(A17,'Region Lookup'!$A$2:$A$233,0)),"Not found")</f>
        <v>Latin America &amp; Caribbean</v>
      </c>
      <c r="C17" s="10" t="n">
        <v>2017</v>
      </c>
      <c r="D17" s="11" t="n">
        <v>95.42500305</v>
      </c>
      <c r="E17" s="12" t="n">
        <v>24.71300125</v>
      </c>
      <c r="F17" s="12" t="n">
        <v>96.73918628</v>
      </c>
      <c r="G17" s="12" t="n">
        <v>0</v>
      </c>
      <c r="H17" s="12" t="n">
        <v>3.16634761</v>
      </c>
      <c r="I17" s="12" t="n">
        <v>0.09446611409</v>
      </c>
      <c r="J17" s="12"/>
      <c r="K17" s="12"/>
      <c r="L17" s="12"/>
      <c r="M17" s="12"/>
      <c r="N17" s="12"/>
      <c r="O17" s="12"/>
      <c r="P17" s="12"/>
      <c r="Q17" s="12"/>
      <c r="R17" s="13" t="str">
        <f aca="false">IF($A17=$A18,$C18-$C17,"")</f>
        <v/>
      </c>
      <c r="S17" s="14" t="str">
        <f aca="false">IF(AND($A17=$A18,ISNUMBER(F17),ISNUMBER(F18)),(F18-F17)/($C18-$C17),"")</f>
        <v/>
      </c>
      <c r="T17" s="14" t="str">
        <f aca="false">IF(AND($A17=$A18,ISNUMBER(J17),ISNUMBER(J18)),(J18-J17)/($C18-$C17),"")</f>
        <v/>
      </c>
      <c r="U17" s="14" t="str">
        <f aca="false">IF(AND($A17=$A18,ISNUMBER(N17),ISNUMBER(N18)),(N18-N17)/($C18-$C17),"")</f>
        <v/>
      </c>
      <c r="V17" s="13" t="n">
        <f aca="false">IF(ISNUMBER(F17),ROUND(F17,0),"")</f>
        <v>97</v>
      </c>
      <c r="W17" s="13" t="str">
        <f aca="false">IF(ISNUMBER(J17),ROUND(J17,0),"")</f>
        <v/>
      </c>
      <c r="X17" s="13" t="str">
        <f aca="false">IF(ISNUMBER(N17),ROUND(N17,0),"")</f>
        <v/>
      </c>
      <c r="Y17" s="10" t="str">
        <f aca="false">IF(AND($A17=$A18,V17=100,V18=100),"full access","")</f>
        <v/>
      </c>
      <c r="Z17" s="10" t="str">
        <f aca="false">IF(AND($A17=$A18,W17=100,W18=100),"full access","")</f>
        <v/>
      </c>
      <c r="AA17" s="10" t="str">
        <f aca="false">IF(AND($A17=$A18,X17=100,X18=100),"full access","")</f>
        <v/>
      </c>
      <c r="AB17" s="14" t="str">
        <f aca="false">IF(AND(ISNUMBER(T17),ISNUMBER(U17)),T17-U17,"")</f>
        <v/>
      </c>
    </row>
    <row r="18" customFormat="false" ht="15" hidden="false" customHeight="false" outlineLevel="0" collapsed="false">
      <c r="A18" s="4" t="s">
        <v>91</v>
      </c>
      <c r="B18" s="4" t="str">
        <f aca="false">IFERROR(INDEX('Region Lookup'!$B$2:$B$233,MATCH(A18,'Region Lookup'!$A$2:$A$233,0)),"Not found")</f>
        <v>Latin America &amp; Caribbean</v>
      </c>
      <c r="C18" s="4" t="n">
        <v>2015</v>
      </c>
      <c r="D18" s="6" t="n">
        <v>43075.41406</v>
      </c>
      <c r="E18" s="7" t="n">
        <v>91.50299835</v>
      </c>
      <c r="F18" s="7" t="n">
        <v>98.96658815</v>
      </c>
      <c r="G18" s="7" t="n">
        <v>0</v>
      </c>
      <c r="H18" s="7" t="n">
        <v>0.6649143791</v>
      </c>
      <c r="I18" s="7" t="n">
        <v>0.3684974742</v>
      </c>
      <c r="J18" s="7" t="n">
        <v>92.98366005</v>
      </c>
      <c r="K18" s="7" t="n">
        <v>0</v>
      </c>
      <c r="L18" s="7" t="n">
        <v>2.679544899</v>
      </c>
      <c r="M18" s="7" t="n">
        <v>4.336795051</v>
      </c>
      <c r="N18" s="7" t="n">
        <v>99.52216305</v>
      </c>
      <c r="O18" s="7" t="n">
        <v>0</v>
      </c>
      <c r="P18" s="7" t="n">
        <v>0.4778369473</v>
      </c>
      <c r="Q18" s="7" t="n">
        <v>0</v>
      </c>
      <c r="R18" s="8" t="n">
        <f aca="false">IF($A18=$A19,$C19-$C18,"")</f>
        <v>5</v>
      </c>
      <c r="S18" s="9" t="str">
        <f aca="false">IF(AND($A18=$A19,ISNUMBER(F18),ISNUMBER(F19)),(F19-F18)/($C19-$C18),"")</f>
        <v/>
      </c>
      <c r="T18" s="9" t="str">
        <f aca="false">IF(AND($A18=$A19,ISNUMBER(J18),ISNUMBER(J19)),(J19-J18)/($C19-$C18),"")</f>
        <v/>
      </c>
      <c r="U18" s="9" t="n">
        <f aca="false">IF(AND($A18=$A19,ISNUMBER(N18),ISNUMBER(N19)),(N19-N18)/($C19-$C18),"")</f>
        <v>0.0536515199999997</v>
      </c>
      <c r="V18" s="8" t="n">
        <f aca="false">IF(ISNUMBER(F18),ROUND(F18,0),"")</f>
        <v>99</v>
      </c>
      <c r="W18" s="8" t="n">
        <f aca="false">IF(ISNUMBER(J18),ROUND(J18,0),"")</f>
        <v>93</v>
      </c>
      <c r="X18" s="8" t="n">
        <f aca="false">IF(ISNUMBER(N18),ROUND(N18,0),"")</f>
        <v>100</v>
      </c>
      <c r="Y18" s="4" t="str">
        <f aca="false">IF(AND($A18=$A19,V18=100,V19=100),"full access","")</f>
        <v/>
      </c>
      <c r="Z18" s="4" t="str">
        <f aca="false">IF(AND($A18=$A19,W18=100,W19=100),"full access","")</f>
        <v/>
      </c>
      <c r="AA18" s="4" t="str">
        <f aca="false">IF(AND($A18=$A19,X18=100,X19=100),"full access","")</f>
        <v>full access</v>
      </c>
      <c r="AB18" s="9" t="str">
        <f aca="false">IF(AND(ISNUMBER(T18),ISNUMBER(U18)),T18-U18,"")</f>
        <v/>
      </c>
    </row>
    <row r="19" customFormat="false" ht="15" hidden="false" customHeight="false" outlineLevel="0" collapsed="false">
      <c r="A19" s="4" t="s">
        <v>91</v>
      </c>
      <c r="B19" s="4" t="str">
        <f aca="false">IFERROR(INDEX('Region Lookup'!$B$2:$B$233,MATCH(A19,'Region Lookup'!$A$2:$A$233,0)),"Not found")</f>
        <v>Latin America &amp; Caribbean</v>
      </c>
      <c r="C19" s="4" t="n">
        <v>2020</v>
      </c>
      <c r="D19" s="6" t="n">
        <v>45195.77734</v>
      </c>
      <c r="E19" s="7" t="n">
        <v>92.11100006</v>
      </c>
      <c r="F19" s="7"/>
      <c r="G19" s="7"/>
      <c r="H19" s="7"/>
      <c r="I19" s="7"/>
      <c r="J19" s="7"/>
      <c r="K19" s="7"/>
      <c r="L19" s="7"/>
      <c r="M19" s="7"/>
      <c r="N19" s="7" t="n">
        <v>99.79042065</v>
      </c>
      <c r="O19" s="7" t="n">
        <v>0</v>
      </c>
      <c r="P19" s="7" t="n">
        <v>0.2095793501</v>
      </c>
      <c r="Q19" s="7" t="n">
        <v>0</v>
      </c>
      <c r="R19" s="8" t="str">
        <f aca="false">IF($A19=$A20,$C20-$C19,"")</f>
        <v/>
      </c>
      <c r="S19" s="9" t="str">
        <f aca="false">IF(AND($A19=$A20,ISNUMBER(F19),ISNUMBER(F20)),(F20-F19)/($C20-$C19),"")</f>
        <v/>
      </c>
      <c r="T19" s="9" t="str">
        <f aca="false">IF(AND($A19=$A20,ISNUMBER(J19),ISNUMBER(J20)),(J20-J19)/($C20-$C19),"")</f>
        <v/>
      </c>
      <c r="U19" s="9" t="str">
        <f aca="false">IF(AND($A19=$A20,ISNUMBER(N19),ISNUMBER(N20)),(N20-N19)/($C20-$C19),"")</f>
        <v/>
      </c>
      <c r="V19" s="8" t="str">
        <f aca="false">IF(ISNUMBER(F19),ROUND(F19,0),"")</f>
        <v/>
      </c>
      <c r="W19" s="8" t="str">
        <f aca="false">IF(ISNUMBER(J19),ROUND(J19,0),"")</f>
        <v/>
      </c>
      <c r="X19" s="8" t="n">
        <f aca="false">IF(ISNUMBER(N19),ROUND(N19,0),"")</f>
        <v>100</v>
      </c>
      <c r="Y19" s="4" t="str">
        <f aca="false">IF(AND($A19=$A20,V19=100,V20=100),"full access","")</f>
        <v/>
      </c>
      <c r="Z19" s="4" t="str">
        <f aca="false">IF(AND($A19=$A20,W19=100,W20=100),"full access","")</f>
        <v/>
      </c>
      <c r="AA19" s="4" t="str">
        <f aca="false">IF(AND($A19=$A20,X19=100,X20=100),"full access","")</f>
        <v/>
      </c>
      <c r="AB19" s="9" t="str">
        <f aca="false">IF(AND(ISNUMBER(T19),ISNUMBER(U19)),T19-U19,"")</f>
        <v/>
      </c>
    </row>
    <row r="20" customFormat="false" ht="15" hidden="false" customHeight="false" outlineLevel="0" collapsed="false">
      <c r="A20" s="10" t="s">
        <v>92</v>
      </c>
      <c r="B20" s="10" t="str">
        <f aca="false">IFERROR(INDEX('Region Lookup'!$B$2:$B$233,MATCH(A20,'Region Lookup'!$A$2:$A$233,0)),"Not found")</f>
        <v>Europe &amp; Central Asia</v>
      </c>
      <c r="C20" s="10" t="n">
        <v>2015</v>
      </c>
      <c r="D20" s="11" t="n">
        <v>2925.559082</v>
      </c>
      <c r="E20" s="12" t="n">
        <v>63.0850029</v>
      </c>
      <c r="F20" s="12" t="n">
        <v>99.5525667</v>
      </c>
      <c r="G20" s="12" t="n">
        <v>0</v>
      </c>
      <c r="H20" s="12" t="n">
        <v>0.09850508366</v>
      </c>
      <c r="I20" s="12" t="n">
        <v>0.3489282205</v>
      </c>
      <c r="J20" s="12" t="n">
        <v>99.05477927</v>
      </c>
      <c r="K20" s="12" t="n">
        <v>0</v>
      </c>
      <c r="L20" s="12" t="n">
        <v>0</v>
      </c>
      <c r="M20" s="12" t="n">
        <v>0.9452207347</v>
      </c>
      <c r="N20" s="12" t="n">
        <v>99.8438534</v>
      </c>
      <c r="O20" s="12" t="n">
        <v>0</v>
      </c>
      <c r="P20" s="12" t="n">
        <v>0.1561465981</v>
      </c>
      <c r="Q20" s="12" t="n">
        <v>0</v>
      </c>
      <c r="R20" s="13" t="n">
        <f aca="false">IF($A20=$A21,$C21-$C20,"")</f>
        <v>5</v>
      </c>
      <c r="S20" s="14" t="n">
        <f aca="false">IF(AND($A20=$A21,ISNUMBER(F20),ISNUMBER(F21)),(F21-F20)/($C21-$C20),"")</f>
        <v>0.0837227979999995</v>
      </c>
      <c r="T20" s="14" t="n">
        <f aca="false">IF(AND($A20=$A21,ISNUMBER(J20),ISNUMBER(J21)),(J21-J20)/($C21-$C20),"")</f>
        <v>0.189044146000001</v>
      </c>
      <c r="U20" s="14" t="n">
        <f aca="false">IF(AND($A20=$A21,ISNUMBER(N20),ISNUMBER(N21)),(N21-N20)/($C21-$C20),"")</f>
        <v>0.022125564000001</v>
      </c>
      <c r="V20" s="13" t="n">
        <f aca="false">IF(ISNUMBER(F20),ROUND(F20,0),"")</f>
        <v>100</v>
      </c>
      <c r="W20" s="13" t="n">
        <f aca="false">IF(ISNUMBER(J20),ROUND(J20,0),"")</f>
        <v>99</v>
      </c>
      <c r="X20" s="13" t="n">
        <f aca="false">IF(ISNUMBER(N20),ROUND(N20,0),"")</f>
        <v>100</v>
      </c>
      <c r="Y20" s="10" t="str">
        <f aca="false">IF(AND($A20=$A21,V20=100,V21=100),"full access","")</f>
        <v>full access</v>
      </c>
      <c r="Z20" s="10" t="str">
        <f aca="false">IF(AND($A20=$A21,W20=100,W21=100),"full access","")</f>
        <v/>
      </c>
      <c r="AA20" s="10" t="str">
        <f aca="false">IF(AND($A20=$A21,X20=100,X21=100),"full access","")</f>
        <v>full access</v>
      </c>
      <c r="AB20" s="14" t="n">
        <f aca="false">IF(AND(ISNUMBER(T20),ISNUMBER(U20)),T20-U20,"")</f>
        <v>0.166918582</v>
      </c>
    </row>
    <row r="21" customFormat="false" ht="15" hidden="false" customHeight="false" outlineLevel="0" collapsed="false">
      <c r="A21" s="10" t="s">
        <v>92</v>
      </c>
      <c r="B21" s="10" t="str">
        <f aca="false">IFERROR(INDEX('Region Lookup'!$B$2:$B$233,MATCH(A21,'Region Lookup'!$A$2:$A$233,0)),"Not found")</f>
        <v>Europe &amp; Central Asia</v>
      </c>
      <c r="C21" s="10" t="n">
        <v>2020</v>
      </c>
      <c r="D21" s="11" t="n">
        <v>2963.233887</v>
      </c>
      <c r="E21" s="12" t="n">
        <v>63.31299973</v>
      </c>
      <c r="F21" s="12" t="n">
        <v>99.97118069</v>
      </c>
      <c r="G21" s="12" t="n">
        <v>0</v>
      </c>
      <c r="H21" s="12" t="n">
        <v>0.02881930801</v>
      </c>
      <c r="I21" s="12" t="n">
        <v>0</v>
      </c>
      <c r="J21" s="12" t="n">
        <v>100</v>
      </c>
      <c r="K21" s="12" t="n">
        <v>0</v>
      </c>
      <c r="L21" s="12" t="n">
        <v>0</v>
      </c>
      <c r="M21" s="12" t="n">
        <v>0</v>
      </c>
      <c r="N21" s="12" t="n">
        <v>99.95448122</v>
      </c>
      <c r="O21" s="12" t="n">
        <v>0</v>
      </c>
      <c r="P21" s="12" t="n">
        <v>0.04551878364</v>
      </c>
      <c r="Q21" s="12" t="n">
        <v>0</v>
      </c>
      <c r="R21" s="13" t="str">
        <f aca="false">IF($A21=$A22,$C22-$C21,"")</f>
        <v/>
      </c>
      <c r="S21" s="14" t="str">
        <f aca="false">IF(AND($A21=$A22,ISNUMBER(F21),ISNUMBER(F22)),(F22-F21)/($C22-$C21),"")</f>
        <v/>
      </c>
      <c r="T21" s="14" t="str">
        <f aca="false">IF(AND($A21=$A22,ISNUMBER(J21),ISNUMBER(J22)),(J22-J21)/($C22-$C21),"")</f>
        <v/>
      </c>
      <c r="U21" s="14" t="str">
        <f aca="false">IF(AND($A21=$A22,ISNUMBER(N21),ISNUMBER(N22)),(N22-N21)/($C22-$C21),"")</f>
        <v/>
      </c>
      <c r="V21" s="13" t="n">
        <f aca="false">IF(ISNUMBER(F21),ROUND(F21,0),"")</f>
        <v>100</v>
      </c>
      <c r="W21" s="13" t="n">
        <f aca="false">IF(ISNUMBER(J21),ROUND(J21,0),"")</f>
        <v>100</v>
      </c>
      <c r="X21" s="13" t="n">
        <f aca="false">IF(ISNUMBER(N21),ROUND(N21,0),"")</f>
        <v>100</v>
      </c>
      <c r="Y21" s="10" t="str">
        <f aca="false">IF(AND($A21=$A22,V21=100,V22=100),"full access","")</f>
        <v/>
      </c>
      <c r="Z21" s="10" t="str">
        <f aca="false">IF(AND($A21=$A22,W21=100,W22=100),"full access","")</f>
        <v/>
      </c>
      <c r="AA21" s="10" t="str">
        <f aca="false">IF(AND($A21=$A22,X21=100,X22=100),"full access","")</f>
        <v/>
      </c>
      <c r="AB21" s="14" t="str">
        <f aca="false">IF(AND(ISNUMBER(T21),ISNUMBER(U21)),T21-U21,"")</f>
        <v/>
      </c>
    </row>
    <row r="22" customFormat="false" ht="15" hidden="false" customHeight="false" outlineLevel="0" collapsed="false">
      <c r="A22" s="4" t="s">
        <v>93</v>
      </c>
      <c r="B22" s="4" t="str">
        <f aca="false">IFERROR(INDEX('Region Lookup'!$B$2:$B$233,MATCH(A22,'Region Lookup'!$A$2:$A$233,0)),"Not found")</f>
        <v>Latin America &amp; Caribbean</v>
      </c>
      <c r="C22" s="4" t="n">
        <v>2015</v>
      </c>
      <c r="D22" s="6" t="n">
        <v>104.3389969</v>
      </c>
      <c r="E22" s="7" t="n">
        <v>43.10800171</v>
      </c>
      <c r="F22" s="7" t="n">
        <v>97.86902338</v>
      </c>
      <c r="G22" s="7" t="n">
        <v>0</v>
      </c>
      <c r="H22" s="7" t="n">
        <v>1.95993621</v>
      </c>
      <c r="I22" s="7" t="n">
        <v>0.1710404089</v>
      </c>
      <c r="J22" s="7"/>
      <c r="K22" s="7"/>
      <c r="L22" s="7"/>
      <c r="M22" s="7"/>
      <c r="N22" s="7"/>
      <c r="O22" s="7"/>
      <c r="P22" s="7"/>
      <c r="Q22" s="7"/>
      <c r="R22" s="8" t="n">
        <f aca="false">IF($A22=$A23,$C23-$C22,"")</f>
        <v>1</v>
      </c>
      <c r="S22" s="9" t="n">
        <f aca="false">IF(AND($A22=$A23,ISNUMBER(F22),ISNUMBER(F23)),(F23-F22)/($C23-$C22),"")</f>
        <v>0</v>
      </c>
      <c r="T22" s="9" t="str">
        <f aca="false">IF(AND($A22=$A23,ISNUMBER(J22),ISNUMBER(J23)),(J23-J22)/($C23-$C22),"")</f>
        <v/>
      </c>
      <c r="U22" s="9" t="str">
        <f aca="false">IF(AND($A22=$A23,ISNUMBER(N22),ISNUMBER(N23)),(N23-N22)/($C23-$C22),"")</f>
        <v/>
      </c>
      <c r="V22" s="8" t="n">
        <f aca="false">IF(ISNUMBER(F22),ROUND(F22,0),"")</f>
        <v>98</v>
      </c>
      <c r="W22" s="8" t="str">
        <f aca="false">IF(ISNUMBER(J22),ROUND(J22,0),"")</f>
        <v/>
      </c>
      <c r="X22" s="8" t="str">
        <f aca="false">IF(ISNUMBER(N22),ROUND(N22,0),"")</f>
        <v/>
      </c>
      <c r="Y22" s="4" t="str">
        <f aca="false">IF(AND($A22=$A23,V22=100,V23=100),"full access","")</f>
        <v/>
      </c>
      <c r="Z22" s="4" t="str">
        <f aca="false">IF(AND($A22=$A23,W22=100,W23=100),"full access","")</f>
        <v/>
      </c>
      <c r="AA22" s="4" t="str">
        <f aca="false">IF(AND($A22=$A23,X22=100,X23=100),"full access","")</f>
        <v/>
      </c>
      <c r="AB22" s="9" t="str">
        <f aca="false">IF(AND(ISNUMBER(T22),ISNUMBER(U22)),T22-U22,"")</f>
        <v/>
      </c>
    </row>
    <row r="23" customFormat="false" ht="15" hidden="false" customHeight="false" outlineLevel="0" collapsed="false">
      <c r="A23" s="4" t="s">
        <v>93</v>
      </c>
      <c r="B23" s="4" t="str">
        <f aca="false">IFERROR(INDEX('Region Lookup'!$B$2:$B$233,MATCH(A23,'Region Lookup'!$A$2:$A$233,0)),"Not found")</f>
        <v>Latin America &amp; Caribbean</v>
      </c>
      <c r="C23" s="4" t="n">
        <v>2016</v>
      </c>
      <c r="D23" s="6" t="n">
        <v>104.8649979</v>
      </c>
      <c r="E23" s="7" t="n">
        <v>43.19199753</v>
      </c>
      <c r="F23" s="7" t="n">
        <v>97.86902338</v>
      </c>
      <c r="G23" s="7" t="n">
        <v>0</v>
      </c>
      <c r="H23" s="7" t="n">
        <v>1.95993621</v>
      </c>
      <c r="I23" s="7" t="n">
        <v>0.1710404089</v>
      </c>
      <c r="J23" s="7"/>
      <c r="K23" s="7"/>
      <c r="L23" s="7"/>
      <c r="M23" s="7"/>
      <c r="N23" s="7"/>
      <c r="O23" s="7"/>
      <c r="P23" s="7"/>
      <c r="Q23" s="7"/>
      <c r="R23" s="8" t="str">
        <f aca="false">IF($A23=$A24,$C24-$C23,"")</f>
        <v/>
      </c>
      <c r="S23" s="9" t="str">
        <f aca="false">IF(AND($A23=$A24,ISNUMBER(F23),ISNUMBER(F24)),(F24-F23)/($C24-$C23),"")</f>
        <v/>
      </c>
      <c r="T23" s="9" t="str">
        <f aca="false">IF(AND($A23=$A24,ISNUMBER(J23),ISNUMBER(J24)),(J24-J23)/($C24-$C23),"")</f>
        <v/>
      </c>
      <c r="U23" s="9" t="str">
        <f aca="false">IF(AND($A23=$A24,ISNUMBER(N23),ISNUMBER(N24)),(N24-N23)/($C24-$C23),"")</f>
        <v/>
      </c>
      <c r="V23" s="8" t="n">
        <f aca="false">IF(ISNUMBER(F23),ROUND(F23,0),"")</f>
        <v>98</v>
      </c>
      <c r="W23" s="8" t="str">
        <f aca="false">IF(ISNUMBER(J23),ROUND(J23,0),"")</f>
        <v/>
      </c>
      <c r="X23" s="8" t="str">
        <f aca="false">IF(ISNUMBER(N23),ROUND(N23,0),"")</f>
        <v/>
      </c>
      <c r="Y23" s="4" t="str">
        <f aca="false">IF(AND($A23=$A24,V23=100,V24=100),"full access","")</f>
        <v/>
      </c>
      <c r="Z23" s="4" t="str">
        <f aca="false">IF(AND($A23=$A24,W23=100,W24=100),"full access","")</f>
        <v/>
      </c>
      <c r="AA23" s="4" t="str">
        <f aca="false">IF(AND($A23=$A24,X23=100,X24=100),"full access","")</f>
        <v/>
      </c>
      <c r="AB23" s="9" t="str">
        <f aca="false">IF(AND(ISNUMBER(T23),ISNUMBER(U23)),T23-U23,"")</f>
        <v/>
      </c>
    </row>
    <row r="24" customFormat="false" ht="15" hidden="false" customHeight="false" outlineLevel="0" collapsed="false">
      <c r="A24" s="10" t="s">
        <v>94</v>
      </c>
      <c r="B24" s="10" t="str">
        <f aca="false">IFERROR(INDEX('Region Lookup'!$B$2:$B$233,MATCH(A24,'Region Lookup'!$A$2:$A$233,0)),"Not found")</f>
        <v>East Asia &amp; Pacific</v>
      </c>
      <c r="C24" s="10" t="n">
        <v>2015</v>
      </c>
      <c r="D24" s="11" t="n">
        <v>23932.49805</v>
      </c>
      <c r="E24" s="12" t="n">
        <v>85.70100403</v>
      </c>
      <c r="F24" s="12" t="n">
        <v>99.97000567</v>
      </c>
      <c r="G24" s="12" t="n">
        <v>0</v>
      </c>
      <c r="H24" s="12" t="n">
        <v>0.02999433057</v>
      </c>
      <c r="I24" s="12" t="n">
        <v>0</v>
      </c>
      <c r="J24" s="12" t="n">
        <v>100</v>
      </c>
      <c r="K24" s="12" t="n">
        <v>0</v>
      </c>
      <c r="L24" s="12" t="n">
        <v>0</v>
      </c>
      <c r="M24" s="12" t="n">
        <v>0</v>
      </c>
      <c r="N24" s="12" t="n">
        <v>99.965</v>
      </c>
      <c r="O24" s="12" t="n">
        <v>0</v>
      </c>
      <c r="P24" s="12" t="n">
        <v>0.035</v>
      </c>
      <c r="Q24" s="12" t="n">
        <v>0</v>
      </c>
      <c r="R24" s="13" t="n">
        <f aca="false">IF($A24=$A25,$C25-$C24,"")</f>
        <v>5</v>
      </c>
      <c r="S24" s="14" t="n">
        <f aca="false">IF(AND($A24=$A25,ISNUMBER(F24),ISNUMBER(F25)),(F25-F24)/($C25-$C24),"")</f>
        <v>-3.87700000004543E-005</v>
      </c>
      <c r="T24" s="14" t="n">
        <f aca="false">IF(AND($A24=$A25,ISNUMBER(J24),ISNUMBER(J25)),(J25-J24)/($C25-$C24),"")</f>
        <v>0</v>
      </c>
      <c r="U24" s="14" t="n">
        <f aca="false">IF(AND($A24=$A25,ISNUMBER(N24),ISNUMBER(N25)),(N25-N24)/($C25-$C24),"")</f>
        <v>0</v>
      </c>
      <c r="V24" s="13" t="n">
        <f aca="false">IF(ISNUMBER(F24),ROUND(F24,0),"")</f>
        <v>100</v>
      </c>
      <c r="W24" s="13" t="n">
        <f aca="false">IF(ISNUMBER(J24),ROUND(J24,0),"")</f>
        <v>100</v>
      </c>
      <c r="X24" s="13" t="n">
        <f aca="false">IF(ISNUMBER(N24),ROUND(N24,0),"")</f>
        <v>100</v>
      </c>
      <c r="Y24" s="10" t="str">
        <f aca="false">IF(AND($A24=$A25,V24=100,V25=100),"full access","")</f>
        <v>full access</v>
      </c>
      <c r="Z24" s="10" t="str">
        <f aca="false">IF(AND($A24=$A25,W24=100,W25=100),"full access","")</f>
        <v>full access</v>
      </c>
      <c r="AA24" s="10" t="str">
        <f aca="false">IF(AND($A24=$A25,X24=100,X25=100),"full access","")</f>
        <v>full access</v>
      </c>
      <c r="AB24" s="14" t="n">
        <f aca="false">IF(AND(ISNUMBER(T24),ISNUMBER(U24)),T24-U24,"")</f>
        <v>0</v>
      </c>
    </row>
    <row r="25" customFormat="false" ht="15" hidden="false" customHeight="false" outlineLevel="0" collapsed="false">
      <c r="A25" s="10" t="s">
        <v>94</v>
      </c>
      <c r="B25" s="10" t="str">
        <f aca="false">IFERROR(INDEX('Region Lookup'!$B$2:$B$233,MATCH(A25,'Region Lookup'!$A$2:$A$233,0)),"Not found")</f>
        <v>East Asia &amp; Pacific</v>
      </c>
      <c r="C25" s="10" t="n">
        <v>2020</v>
      </c>
      <c r="D25" s="11" t="n">
        <v>25499.88086</v>
      </c>
      <c r="E25" s="12" t="n">
        <v>86.24099731</v>
      </c>
      <c r="F25" s="12" t="n">
        <v>99.96981182</v>
      </c>
      <c r="G25" s="12" t="n">
        <v>0</v>
      </c>
      <c r="H25" s="12" t="n">
        <v>0.03018817873</v>
      </c>
      <c r="I25" s="12" t="n">
        <v>0</v>
      </c>
      <c r="J25" s="12" t="n">
        <v>100</v>
      </c>
      <c r="K25" s="12" t="n">
        <v>0</v>
      </c>
      <c r="L25" s="12" t="n">
        <v>0</v>
      </c>
      <c r="M25" s="12" t="n">
        <v>0</v>
      </c>
      <c r="N25" s="12" t="n">
        <v>99.965</v>
      </c>
      <c r="O25" s="12" t="n">
        <v>0</v>
      </c>
      <c r="P25" s="12" t="n">
        <v>0.035</v>
      </c>
      <c r="Q25" s="12" t="n">
        <v>0</v>
      </c>
      <c r="R25" s="13" t="str">
        <f aca="false">IF($A25=$A26,$C26-$C25,"")</f>
        <v/>
      </c>
      <c r="S25" s="14" t="str">
        <f aca="false">IF(AND($A25=$A26,ISNUMBER(F25),ISNUMBER(F26)),(F26-F25)/($C26-$C25),"")</f>
        <v/>
      </c>
      <c r="T25" s="14" t="str">
        <f aca="false">IF(AND($A25=$A26,ISNUMBER(J25),ISNUMBER(J26)),(J26-J25)/($C26-$C25),"")</f>
        <v/>
      </c>
      <c r="U25" s="14" t="str">
        <f aca="false">IF(AND($A25=$A26,ISNUMBER(N25),ISNUMBER(N26)),(N26-N25)/($C26-$C25),"")</f>
        <v/>
      </c>
      <c r="V25" s="13" t="n">
        <f aca="false">IF(ISNUMBER(F25),ROUND(F25,0),"")</f>
        <v>100</v>
      </c>
      <c r="W25" s="13" t="n">
        <f aca="false">IF(ISNUMBER(J25),ROUND(J25,0),"")</f>
        <v>100</v>
      </c>
      <c r="X25" s="13" t="n">
        <f aca="false">IF(ISNUMBER(N25),ROUND(N25,0),"")</f>
        <v>100</v>
      </c>
      <c r="Y25" s="10" t="str">
        <f aca="false">IF(AND($A25=$A26,V25=100,V26=100),"full access","")</f>
        <v/>
      </c>
      <c r="Z25" s="10" t="str">
        <f aca="false">IF(AND($A25=$A26,W25=100,W26=100),"full access","")</f>
        <v/>
      </c>
      <c r="AA25" s="10" t="str">
        <f aca="false">IF(AND($A25=$A26,X25=100,X26=100),"full access","")</f>
        <v/>
      </c>
      <c r="AB25" s="14" t="str">
        <f aca="false">IF(AND(ISNUMBER(T25),ISNUMBER(U25)),T25-U25,"")</f>
        <v/>
      </c>
    </row>
    <row r="26" customFormat="false" ht="15" hidden="false" customHeight="false" outlineLevel="0" collapsed="false">
      <c r="A26" s="4" t="s">
        <v>95</v>
      </c>
      <c r="B26" s="4" t="str">
        <f aca="false">IFERROR(INDEX('Region Lookup'!$B$2:$B$233,MATCH(A26,'Region Lookup'!$A$2:$A$233,0)),"Not found")</f>
        <v>Europe &amp; Central Asia</v>
      </c>
      <c r="C26" s="4" t="n">
        <v>2015</v>
      </c>
      <c r="D26" s="6" t="n">
        <v>8678.666992</v>
      </c>
      <c r="E26" s="7" t="n">
        <v>57.71500015</v>
      </c>
      <c r="F26" s="7" t="n">
        <v>100</v>
      </c>
      <c r="G26" s="7" t="n">
        <v>0</v>
      </c>
      <c r="H26" s="7" t="n">
        <v>0</v>
      </c>
      <c r="I26" s="7" t="n">
        <v>0</v>
      </c>
      <c r="J26" s="7" t="n">
        <v>100</v>
      </c>
      <c r="K26" s="7" t="n">
        <v>0</v>
      </c>
      <c r="L26" s="7" t="n">
        <v>0</v>
      </c>
      <c r="M26" s="7" t="n">
        <v>0</v>
      </c>
      <c r="N26" s="7" t="n">
        <v>100</v>
      </c>
      <c r="O26" s="7" t="n">
        <v>0</v>
      </c>
      <c r="P26" s="7" t="n">
        <v>0</v>
      </c>
      <c r="Q26" s="7" t="n">
        <v>0</v>
      </c>
      <c r="R26" s="8" t="n">
        <f aca="false">IF($A26=$A27,$C27-$C26,"")</f>
        <v>5</v>
      </c>
      <c r="S26" s="9" t="n">
        <f aca="false">IF(AND($A26=$A27,ISNUMBER(F26),ISNUMBER(F27)),(F27-F26)/($C27-$C26),"")</f>
        <v>0</v>
      </c>
      <c r="T26" s="9" t="n">
        <f aca="false">IF(AND($A26=$A27,ISNUMBER(J26),ISNUMBER(J27)),(J27-J26)/($C27-$C26),"")</f>
        <v>0</v>
      </c>
      <c r="U26" s="9" t="n">
        <f aca="false">IF(AND($A26=$A27,ISNUMBER(N26),ISNUMBER(N27)),(N27-N26)/($C27-$C26),"")</f>
        <v>0</v>
      </c>
      <c r="V26" s="8" t="n">
        <f aca="false">IF(ISNUMBER(F26),ROUND(F26,0),"")</f>
        <v>100</v>
      </c>
      <c r="W26" s="8" t="n">
        <f aca="false">IF(ISNUMBER(J26),ROUND(J26,0),"")</f>
        <v>100</v>
      </c>
      <c r="X26" s="8" t="n">
        <f aca="false">IF(ISNUMBER(N26),ROUND(N26,0),"")</f>
        <v>100</v>
      </c>
      <c r="Y26" s="4" t="str">
        <f aca="false">IF(AND($A26=$A27,V26=100,V27=100),"full access","")</f>
        <v>full access</v>
      </c>
      <c r="Z26" s="4" t="str">
        <f aca="false">IF(AND($A26=$A27,W26=100,W27=100),"full access","")</f>
        <v>full access</v>
      </c>
      <c r="AA26" s="4" t="str">
        <f aca="false">IF(AND($A26=$A27,X26=100,X27=100),"full access","")</f>
        <v>full access</v>
      </c>
      <c r="AB26" s="9" t="n">
        <f aca="false">IF(AND(ISNUMBER(T26),ISNUMBER(U26)),T26-U26,"")</f>
        <v>0</v>
      </c>
    </row>
    <row r="27" customFormat="false" ht="15" hidden="false" customHeight="false" outlineLevel="0" collapsed="false">
      <c r="A27" s="4" t="s">
        <v>95</v>
      </c>
      <c r="B27" s="4" t="str">
        <f aca="false">IFERROR(INDEX('Region Lookup'!$B$2:$B$233,MATCH(A27,'Region Lookup'!$A$2:$A$233,0)),"Not found")</f>
        <v>Europe &amp; Central Asia</v>
      </c>
      <c r="C27" s="4" t="n">
        <v>2020</v>
      </c>
      <c r="D27" s="6" t="n">
        <v>9006.400391</v>
      </c>
      <c r="E27" s="7" t="n">
        <v>58.7480011</v>
      </c>
      <c r="F27" s="7" t="n">
        <v>100</v>
      </c>
      <c r="G27" s="7" t="n">
        <v>0</v>
      </c>
      <c r="H27" s="7" t="n">
        <v>0</v>
      </c>
      <c r="I27" s="7" t="n">
        <v>0</v>
      </c>
      <c r="J27" s="7" t="n">
        <v>100</v>
      </c>
      <c r="K27" s="7" t="n">
        <v>0</v>
      </c>
      <c r="L27" s="7" t="n">
        <v>0</v>
      </c>
      <c r="M27" s="7" t="n">
        <v>0</v>
      </c>
      <c r="N27" s="7" t="n">
        <v>100</v>
      </c>
      <c r="O27" s="7" t="n">
        <v>0</v>
      </c>
      <c r="P27" s="7" t="n">
        <v>0</v>
      </c>
      <c r="Q27" s="7" t="n">
        <v>0</v>
      </c>
      <c r="R27" s="8" t="str">
        <f aca="false">IF($A27=$A28,$C28-$C27,"")</f>
        <v/>
      </c>
      <c r="S27" s="9" t="str">
        <f aca="false">IF(AND($A27=$A28,ISNUMBER(F27),ISNUMBER(F28)),(F28-F27)/($C28-$C27),"")</f>
        <v/>
      </c>
      <c r="T27" s="9" t="str">
        <f aca="false">IF(AND($A27=$A28,ISNUMBER(J27),ISNUMBER(J28)),(J28-J27)/($C28-$C27),"")</f>
        <v/>
      </c>
      <c r="U27" s="9" t="str">
        <f aca="false">IF(AND($A27=$A28,ISNUMBER(N27),ISNUMBER(N28)),(N28-N27)/($C28-$C27),"")</f>
        <v/>
      </c>
      <c r="V27" s="8" t="n">
        <f aca="false">IF(ISNUMBER(F27),ROUND(F27,0),"")</f>
        <v>100</v>
      </c>
      <c r="W27" s="8" t="n">
        <f aca="false">IF(ISNUMBER(J27),ROUND(J27,0),"")</f>
        <v>100</v>
      </c>
      <c r="X27" s="8" t="n">
        <f aca="false">IF(ISNUMBER(N27),ROUND(N27,0),"")</f>
        <v>100</v>
      </c>
      <c r="Y27" s="4" t="str">
        <f aca="false">IF(AND($A27=$A28,V27=100,V28=100),"full access","")</f>
        <v/>
      </c>
      <c r="Z27" s="4" t="str">
        <f aca="false">IF(AND($A27=$A28,W27=100,W28=100),"full access","")</f>
        <v/>
      </c>
      <c r="AA27" s="4" t="str">
        <f aca="false">IF(AND($A27=$A28,X27=100,X28=100),"full access","")</f>
        <v/>
      </c>
      <c r="AB27" s="9" t="str">
        <f aca="false">IF(AND(ISNUMBER(T27),ISNUMBER(U27)),T27-U27,"")</f>
        <v/>
      </c>
    </row>
    <row r="28" customFormat="false" ht="15" hidden="false" customHeight="false" outlineLevel="0" collapsed="false">
      <c r="A28" s="10" t="s">
        <v>96</v>
      </c>
      <c r="B28" s="10" t="str">
        <f aca="false">IFERROR(INDEX('Region Lookup'!$B$2:$B$233,MATCH(A28,'Region Lookup'!$A$2:$A$233,0)),"Not found")</f>
        <v>Europe &amp; Central Asia</v>
      </c>
      <c r="C28" s="10" t="n">
        <v>2015</v>
      </c>
      <c r="D28" s="11" t="n">
        <v>9622.741211</v>
      </c>
      <c r="E28" s="12" t="n">
        <v>54.7140007</v>
      </c>
      <c r="F28" s="12" t="n">
        <v>92.42031398</v>
      </c>
      <c r="G28" s="12" t="n">
        <v>1.002242415</v>
      </c>
      <c r="H28" s="12" t="n">
        <v>4.365089522</v>
      </c>
      <c r="I28" s="12" t="n">
        <v>2.21235408</v>
      </c>
      <c r="J28" s="12" t="n">
        <v>84.14321327</v>
      </c>
      <c r="K28" s="12" t="n">
        <v>2.213139731</v>
      </c>
      <c r="L28" s="12" t="n">
        <v>8.988206006</v>
      </c>
      <c r="M28" s="12" t="n">
        <v>4.655440992</v>
      </c>
      <c r="N28" s="12" t="n">
        <v>99.27115203</v>
      </c>
      <c r="O28" s="12" t="n">
        <v>0</v>
      </c>
      <c r="P28" s="12" t="n">
        <v>0.5386020345</v>
      </c>
      <c r="Q28" s="12" t="n">
        <v>0.1902459339</v>
      </c>
      <c r="R28" s="13" t="n">
        <f aca="false">IF($A28=$A29,$C29-$C28,"")</f>
        <v>5</v>
      </c>
      <c r="S28" s="14" t="n">
        <f aca="false">IF(AND($A28=$A29,ISNUMBER(F28),ISNUMBER(F29)),(F29-F28)/($C29-$C28),"")</f>
        <v>0.724612429999999</v>
      </c>
      <c r="T28" s="14" t="n">
        <f aca="false">IF(AND($A28=$A29,ISNUMBER(J28),ISNUMBER(J29)),(J29-J28)/($C29-$C28),"")</f>
        <v>1.356516936</v>
      </c>
      <c r="U28" s="14" t="n">
        <f aca="false">IF(AND($A28=$A29,ISNUMBER(N28),ISNUMBER(N29)),(N29-N28)/($C29-$C28),"")</f>
        <v>0.145769594000001</v>
      </c>
      <c r="V28" s="13" t="n">
        <f aca="false">IF(ISNUMBER(F28),ROUND(F28,0),"")</f>
        <v>92</v>
      </c>
      <c r="W28" s="13" t="n">
        <f aca="false">IF(ISNUMBER(J28),ROUND(J28,0),"")</f>
        <v>84</v>
      </c>
      <c r="X28" s="13" t="n">
        <f aca="false">IF(ISNUMBER(N28),ROUND(N28,0),"")</f>
        <v>99</v>
      </c>
      <c r="Y28" s="10" t="str">
        <f aca="false">IF(AND($A28=$A29,V28=100,V29=100),"full access","")</f>
        <v/>
      </c>
      <c r="Z28" s="10" t="str">
        <f aca="false">IF(AND($A28=$A29,W28=100,W29=100),"full access","")</f>
        <v/>
      </c>
      <c r="AA28" s="10" t="str">
        <f aca="false">IF(AND($A28=$A29,X28=100,X29=100),"full access","")</f>
        <v/>
      </c>
      <c r="AB28" s="14" t="n">
        <f aca="false">IF(AND(ISNUMBER(T28),ISNUMBER(U28)),T28-U28,"")</f>
        <v>1.210747342</v>
      </c>
    </row>
    <row r="29" customFormat="false" ht="15" hidden="false" customHeight="false" outlineLevel="0" collapsed="false">
      <c r="A29" s="10" t="s">
        <v>96</v>
      </c>
      <c r="B29" s="10" t="str">
        <f aca="false">IFERROR(INDEX('Region Lookup'!$B$2:$B$233,MATCH(A29,'Region Lookup'!$A$2:$A$233,0)),"Not found")</f>
        <v>Europe &amp; Central Asia</v>
      </c>
      <c r="C29" s="10" t="n">
        <v>2020</v>
      </c>
      <c r="D29" s="11" t="n">
        <v>10139.1748</v>
      </c>
      <c r="E29" s="12" t="n">
        <v>56.39700317</v>
      </c>
      <c r="F29" s="12" t="n">
        <v>96.04337613</v>
      </c>
      <c r="G29" s="12" t="n">
        <v>1.04278118</v>
      </c>
      <c r="H29" s="12" t="n">
        <v>2.913842688</v>
      </c>
      <c r="I29" s="12" t="n">
        <v>0</v>
      </c>
      <c r="J29" s="12" t="n">
        <v>90.92579795</v>
      </c>
      <c r="K29" s="12" t="n">
        <v>2.391535671</v>
      </c>
      <c r="L29" s="12" t="n">
        <v>6.682666377</v>
      </c>
      <c r="M29" s="12" t="n">
        <v>0</v>
      </c>
      <c r="N29" s="12" t="n">
        <v>100</v>
      </c>
      <c r="O29" s="12" t="n">
        <v>0</v>
      </c>
      <c r="P29" s="12" t="n">
        <v>0</v>
      </c>
      <c r="Q29" s="12" t="n">
        <v>0</v>
      </c>
      <c r="R29" s="13" t="str">
        <f aca="false">IF($A29=$A30,$C30-$C29,"")</f>
        <v/>
      </c>
      <c r="S29" s="14" t="str">
        <f aca="false">IF(AND($A29=$A30,ISNUMBER(F29),ISNUMBER(F30)),(F30-F29)/($C30-$C29),"")</f>
        <v/>
      </c>
      <c r="T29" s="14" t="str">
        <f aca="false">IF(AND($A29=$A30,ISNUMBER(J29),ISNUMBER(J30)),(J30-J29)/($C30-$C29),"")</f>
        <v/>
      </c>
      <c r="U29" s="14" t="str">
        <f aca="false">IF(AND($A29=$A30,ISNUMBER(N29),ISNUMBER(N30)),(N30-N29)/($C30-$C29),"")</f>
        <v/>
      </c>
      <c r="V29" s="13" t="n">
        <f aca="false">IF(ISNUMBER(F29),ROUND(F29,0),"")</f>
        <v>96</v>
      </c>
      <c r="W29" s="13" t="n">
        <f aca="false">IF(ISNUMBER(J29),ROUND(J29,0),"")</f>
        <v>91</v>
      </c>
      <c r="X29" s="13" t="n">
        <f aca="false">IF(ISNUMBER(N29),ROUND(N29,0),"")</f>
        <v>100</v>
      </c>
      <c r="Y29" s="10" t="str">
        <f aca="false">IF(AND($A29=$A30,V29=100,V30=100),"full access","")</f>
        <v/>
      </c>
      <c r="Z29" s="10" t="str">
        <f aca="false">IF(AND($A29=$A30,W29=100,W30=100),"full access","")</f>
        <v/>
      </c>
      <c r="AA29" s="10" t="str">
        <f aca="false">IF(AND($A29=$A30,X29=100,X30=100),"full access","")</f>
        <v/>
      </c>
      <c r="AB29" s="14" t="str">
        <f aca="false">IF(AND(ISNUMBER(T29),ISNUMBER(U29)),T29-U29,"")</f>
        <v/>
      </c>
    </row>
    <row r="30" customFormat="false" ht="15" hidden="false" customHeight="false" outlineLevel="0" collapsed="false">
      <c r="A30" s="4" t="s">
        <v>97</v>
      </c>
      <c r="B30" s="4" t="str">
        <f aca="false">IFERROR(INDEX('Region Lookup'!$B$2:$B$233,MATCH(A30,'Region Lookup'!$A$2:$A$233,0)),"Not found")</f>
        <v>Latin America &amp; Caribbean</v>
      </c>
      <c r="C30" s="4" t="n">
        <v>2015</v>
      </c>
      <c r="D30" s="6" t="n">
        <v>374.2000122</v>
      </c>
      <c r="E30" s="7" t="n">
        <v>82.74599457</v>
      </c>
      <c r="F30" s="7" t="n">
        <v>98.8869605</v>
      </c>
      <c r="G30" s="7" t="n">
        <v>0</v>
      </c>
      <c r="H30" s="7" t="n">
        <v>1.113039503</v>
      </c>
      <c r="I30" s="7" t="n">
        <v>0</v>
      </c>
      <c r="J30" s="7"/>
      <c r="K30" s="7"/>
      <c r="L30" s="7"/>
      <c r="M30" s="7"/>
      <c r="N30" s="7"/>
      <c r="O30" s="7"/>
      <c r="P30" s="7"/>
      <c r="Q30" s="7"/>
      <c r="R30" s="8" t="n">
        <f aca="false">IF($A30=$A31,$C31-$C30,"")</f>
        <v>4</v>
      </c>
      <c r="S30" s="9" t="n">
        <f aca="false">IF(AND($A30=$A31,ISNUMBER(F30),ISNUMBER(F31)),(F31-F30)/($C31-$C30),"")</f>
        <v>0</v>
      </c>
      <c r="T30" s="9" t="str">
        <f aca="false">IF(AND($A30=$A31,ISNUMBER(J30),ISNUMBER(J31)),(J31-J30)/($C31-$C30),"")</f>
        <v/>
      </c>
      <c r="U30" s="9" t="str">
        <f aca="false">IF(AND($A30=$A31,ISNUMBER(N30),ISNUMBER(N31)),(N31-N30)/($C31-$C30),"")</f>
        <v/>
      </c>
      <c r="V30" s="8" t="n">
        <f aca="false">IF(ISNUMBER(F30),ROUND(F30,0),"")</f>
        <v>99</v>
      </c>
      <c r="W30" s="8" t="str">
        <f aca="false">IF(ISNUMBER(J30),ROUND(J30,0),"")</f>
        <v/>
      </c>
      <c r="X30" s="8" t="str">
        <f aca="false">IF(ISNUMBER(N30),ROUND(N30,0),"")</f>
        <v/>
      </c>
      <c r="Y30" s="4" t="str">
        <f aca="false">IF(AND($A30=$A31,V30=100,V31=100),"full access","")</f>
        <v/>
      </c>
      <c r="Z30" s="4" t="str">
        <f aca="false">IF(AND($A30=$A31,W30=100,W31=100),"full access","")</f>
        <v/>
      </c>
      <c r="AA30" s="4" t="str">
        <f aca="false">IF(AND($A30=$A31,X30=100,X31=100),"full access","")</f>
        <v/>
      </c>
      <c r="AB30" s="9" t="str">
        <f aca="false">IF(AND(ISNUMBER(T30),ISNUMBER(U30)),T30-U30,"")</f>
        <v/>
      </c>
    </row>
    <row r="31" customFormat="false" ht="15" hidden="false" customHeight="false" outlineLevel="0" collapsed="false">
      <c r="A31" s="4" t="s">
        <v>97</v>
      </c>
      <c r="B31" s="4" t="str">
        <f aca="false">IFERROR(INDEX('Region Lookup'!$B$2:$B$233,MATCH(A31,'Region Lookup'!$A$2:$A$233,0)),"Not found")</f>
        <v>Latin America &amp; Caribbean</v>
      </c>
      <c r="C31" s="4" t="n">
        <v>2019</v>
      </c>
      <c r="D31" s="6" t="n">
        <v>389.4859924</v>
      </c>
      <c r="E31" s="7" t="n">
        <v>83.13199615</v>
      </c>
      <c r="F31" s="7" t="n">
        <v>98.8869605</v>
      </c>
      <c r="G31" s="7" t="n">
        <v>0</v>
      </c>
      <c r="H31" s="7" t="n">
        <v>1.113039503</v>
      </c>
      <c r="I31" s="7" t="n">
        <v>0</v>
      </c>
      <c r="J31" s="7"/>
      <c r="K31" s="7"/>
      <c r="L31" s="7"/>
      <c r="M31" s="7"/>
      <c r="N31" s="7"/>
      <c r="O31" s="7"/>
      <c r="P31" s="7"/>
      <c r="Q31" s="7"/>
      <c r="R31" s="8" t="str">
        <f aca="false">IF($A31=$A32,$C32-$C31,"")</f>
        <v/>
      </c>
      <c r="S31" s="9" t="str">
        <f aca="false">IF(AND($A31=$A32,ISNUMBER(F31),ISNUMBER(F32)),(F32-F31)/($C32-$C31),"")</f>
        <v/>
      </c>
      <c r="T31" s="9" t="str">
        <f aca="false">IF(AND($A31=$A32,ISNUMBER(J31),ISNUMBER(J32)),(J32-J31)/($C32-$C31),"")</f>
        <v/>
      </c>
      <c r="U31" s="9" t="str">
        <f aca="false">IF(AND($A31=$A32,ISNUMBER(N31),ISNUMBER(N32)),(N32-N31)/($C32-$C31),"")</f>
        <v/>
      </c>
      <c r="V31" s="8" t="n">
        <f aca="false">IF(ISNUMBER(F31),ROUND(F31,0),"")</f>
        <v>99</v>
      </c>
      <c r="W31" s="8" t="str">
        <f aca="false">IF(ISNUMBER(J31),ROUND(J31,0),"")</f>
        <v/>
      </c>
      <c r="X31" s="8" t="str">
        <f aca="false">IF(ISNUMBER(N31),ROUND(N31,0),"")</f>
        <v/>
      </c>
      <c r="Y31" s="4" t="str">
        <f aca="false">IF(AND($A31=$A32,V31=100,V32=100),"full access","")</f>
        <v/>
      </c>
      <c r="Z31" s="4" t="str">
        <f aca="false">IF(AND($A31=$A32,W31=100,W32=100),"full access","")</f>
        <v/>
      </c>
      <c r="AA31" s="4" t="str">
        <f aca="false">IF(AND($A31=$A32,X31=100,X32=100),"full access","")</f>
        <v/>
      </c>
      <c r="AB31" s="9" t="str">
        <f aca="false">IF(AND(ISNUMBER(T31),ISNUMBER(U31)),T31-U31,"")</f>
        <v/>
      </c>
    </row>
    <row r="32" customFormat="false" ht="15" hidden="false" customHeight="false" outlineLevel="0" collapsed="false">
      <c r="A32" s="10" t="s">
        <v>98</v>
      </c>
      <c r="B32" s="10" t="str">
        <f aca="false">IFERROR(INDEX('Region Lookup'!$B$2:$B$233,MATCH(A32,'Region Lookup'!$A$2:$A$233,0)),"Not found")</f>
        <v>Europe &amp; Central Asia</v>
      </c>
      <c r="C32" s="10" t="n">
        <v>2015</v>
      </c>
      <c r="D32" s="11" t="n">
        <v>1371.853027</v>
      </c>
      <c r="E32" s="12" t="n">
        <v>88.99899292</v>
      </c>
      <c r="F32" s="12" t="n">
        <v>100</v>
      </c>
      <c r="G32" s="12" t="n">
        <v>0</v>
      </c>
      <c r="H32" s="12" t="n">
        <v>0</v>
      </c>
      <c r="I32" s="12" t="n">
        <v>0</v>
      </c>
      <c r="J32" s="12"/>
      <c r="K32" s="12"/>
      <c r="L32" s="12"/>
      <c r="M32" s="12"/>
      <c r="N32" s="12"/>
      <c r="O32" s="12"/>
      <c r="P32" s="12"/>
      <c r="Q32" s="12"/>
      <c r="R32" s="13" t="n">
        <f aca="false">IF($A32=$A33,$C33-$C32,"")</f>
        <v>5</v>
      </c>
      <c r="S32" s="14" t="n">
        <f aca="false">IF(AND($A32=$A33,ISNUMBER(F32),ISNUMBER(F33)),(F33-F32)/($C33-$C32),"")</f>
        <v>0</v>
      </c>
      <c r="T32" s="14" t="str">
        <f aca="false">IF(AND($A32=$A33,ISNUMBER(J32),ISNUMBER(J33)),(J33-J32)/($C33-$C32),"")</f>
        <v/>
      </c>
      <c r="U32" s="14" t="str">
        <f aca="false">IF(AND($A32=$A33,ISNUMBER(N32),ISNUMBER(N33)),(N33-N32)/($C33-$C32),"")</f>
        <v/>
      </c>
      <c r="V32" s="13" t="n">
        <f aca="false">IF(ISNUMBER(F32),ROUND(F32,0),"")</f>
        <v>100</v>
      </c>
      <c r="W32" s="13" t="str">
        <f aca="false">IF(ISNUMBER(J32),ROUND(J32,0),"")</f>
        <v/>
      </c>
      <c r="X32" s="13" t="str">
        <f aca="false">IF(ISNUMBER(N32),ROUND(N32,0),"")</f>
        <v/>
      </c>
      <c r="Y32" s="10" t="str">
        <f aca="false">IF(AND($A32=$A33,V32=100,V33=100),"full access","")</f>
        <v>full access</v>
      </c>
      <c r="Z32" s="10" t="str">
        <f aca="false">IF(AND($A32=$A33,W32=100,W33=100),"full access","")</f>
        <v/>
      </c>
      <c r="AA32" s="10" t="str">
        <f aca="false">IF(AND($A32=$A33,X32=100,X33=100),"full access","")</f>
        <v/>
      </c>
      <c r="AB32" s="14" t="str">
        <f aca="false">IF(AND(ISNUMBER(T32),ISNUMBER(U32)),T32-U32,"")</f>
        <v/>
      </c>
    </row>
    <row r="33" customFormat="false" ht="15" hidden="false" customHeight="false" outlineLevel="0" collapsed="false">
      <c r="A33" s="10" t="s">
        <v>98</v>
      </c>
      <c r="B33" s="10" t="str">
        <f aca="false">IFERROR(INDEX('Region Lookup'!$B$2:$B$233,MATCH(A33,'Region Lookup'!$A$2:$A$233,0)),"Not found")</f>
        <v>Europe &amp; Central Asia</v>
      </c>
      <c r="C33" s="10" t="n">
        <v>2020</v>
      </c>
      <c r="D33" s="11" t="n">
        <v>1701.583008</v>
      </c>
      <c r="E33" s="12" t="n">
        <v>89.50600433</v>
      </c>
      <c r="F33" s="12" t="n">
        <v>100</v>
      </c>
      <c r="G33" s="12" t="n">
        <v>0</v>
      </c>
      <c r="H33" s="12" t="n">
        <v>0</v>
      </c>
      <c r="I33" s="12" t="n">
        <v>0</v>
      </c>
      <c r="J33" s="12"/>
      <c r="K33" s="12"/>
      <c r="L33" s="12"/>
      <c r="M33" s="12"/>
      <c r="N33" s="12"/>
      <c r="O33" s="12"/>
      <c r="P33" s="12"/>
      <c r="Q33" s="12"/>
      <c r="R33" s="13" t="str">
        <f aca="false">IF($A33=$A34,$C34-$C33,"")</f>
        <v/>
      </c>
      <c r="S33" s="14" t="str">
        <f aca="false">IF(AND($A33=$A34,ISNUMBER(F33),ISNUMBER(F34)),(F34-F33)/($C34-$C33),"")</f>
        <v/>
      </c>
      <c r="T33" s="14" t="str">
        <f aca="false">IF(AND($A33=$A34,ISNUMBER(J33),ISNUMBER(J34)),(J34-J33)/($C34-$C33),"")</f>
        <v/>
      </c>
      <c r="U33" s="14" t="str">
        <f aca="false">IF(AND($A33=$A34,ISNUMBER(N33),ISNUMBER(N34)),(N34-N33)/($C34-$C33),"")</f>
        <v/>
      </c>
      <c r="V33" s="13" t="n">
        <f aca="false">IF(ISNUMBER(F33),ROUND(F33,0),"")</f>
        <v>100</v>
      </c>
      <c r="W33" s="13" t="str">
        <f aca="false">IF(ISNUMBER(J33),ROUND(J33,0),"")</f>
        <v/>
      </c>
      <c r="X33" s="13" t="str">
        <f aca="false">IF(ISNUMBER(N33),ROUND(N33,0),"")</f>
        <v/>
      </c>
      <c r="Y33" s="10" t="str">
        <f aca="false">IF(AND($A33=$A34,V33=100,V34=100),"full access","")</f>
        <v/>
      </c>
      <c r="Z33" s="10" t="str">
        <f aca="false">IF(AND($A33=$A34,W33=100,W34=100),"full access","")</f>
        <v/>
      </c>
      <c r="AA33" s="10" t="str">
        <f aca="false">IF(AND($A33=$A34,X33=100,X34=100),"full access","")</f>
        <v/>
      </c>
      <c r="AB33" s="14" t="str">
        <f aca="false">IF(AND(ISNUMBER(T33),ISNUMBER(U33)),T33-U33,"")</f>
        <v/>
      </c>
    </row>
    <row r="34" customFormat="false" ht="15" hidden="false" customHeight="false" outlineLevel="0" collapsed="false">
      <c r="A34" s="4" t="s">
        <v>99</v>
      </c>
      <c r="B34" s="4" t="str">
        <f aca="false">IFERROR(INDEX('Region Lookup'!$B$2:$B$233,MATCH(A34,'Region Lookup'!$A$2:$A$233,0)),"Not found")</f>
        <v>South Asia</v>
      </c>
      <c r="C34" s="4" t="n">
        <v>2015</v>
      </c>
      <c r="D34" s="6" t="n">
        <v>156256.2813</v>
      </c>
      <c r="E34" s="7" t="n">
        <v>34.30800247</v>
      </c>
      <c r="F34" s="7" t="n">
        <v>97.10160247</v>
      </c>
      <c r="G34" s="7" t="n">
        <v>1.087988961</v>
      </c>
      <c r="H34" s="7" t="n">
        <v>0.7215616582</v>
      </c>
      <c r="I34" s="7" t="n">
        <v>1.08884691</v>
      </c>
      <c r="J34" s="7" t="n">
        <v>96.77301128</v>
      </c>
      <c r="K34" s="7" t="n">
        <v>1.046214162</v>
      </c>
      <c r="L34" s="7" t="n">
        <v>0.7317473217</v>
      </c>
      <c r="M34" s="7" t="n">
        <v>1.449027237</v>
      </c>
      <c r="N34" s="7" t="n">
        <v>97.73077968</v>
      </c>
      <c r="O34" s="7" t="n">
        <v>1.167978177</v>
      </c>
      <c r="P34" s="7" t="n">
        <v>0.702058435</v>
      </c>
      <c r="Q34" s="7" t="n">
        <v>0.3991837074</v>
      </c>
      <c r="R34" s="8" t="n">
        <f aca="false">IF($A34=$A35,$C35-$C34,"")</f>
        <v>5</v>
      </c>
      <c r="S34" s="9" t="n">
        <f aca="false">IF(AND($A34=$A35,ISNUMBER(F34),ISNUMBER(F35)),(F35-F34)/($C35-$C34),"")</f>
        <v>0.119271555999998</v>
      </c>
      <c r="T34" s="9" t="n">
        <f aca="false">IF(AND($A34=$A35,ISNUMBER(J34),ISNUMBER(J35)),(J35-J34)/($C35-$C34),"")</f>
        <v>0.221445295999999</v>
      </c>
      <c r="U34" s="9" t="n">
        <f aca="false">IF(AND($A34=$A35,ISNUMBER(N34),ISNUMBER(N35)),(N35-N34)/($C35-$C34),"")</f>
        <v>-0.0656003419999991</v>
      </c>
      <c r="V34" s="8" t="n">
        <f aca="false">IF(ISNUMBER(F34),ROUND(F34,0),"")</f>
        <v>97</v>
      </c>
      <c r="W34" s="8" t="n">
        <f aca="false">IF(ISNUMBER(J34),ROUND(J34,0),"")</f>
        <v>97</v>
      </c>
      <c r="X34" s="8" t="n">
        <f aca="false">IF(ISNUMBER(N34),ROUND(N34,0),"")</f>
        <v>98</v>
      </c>
      <c r="Y34" s="4" t="str">
        <f aca="false">IF(AND($A34=$A35,V34=100,V35=100),"full access","")</f>
        <v/>
      </c>
      <c r="Z34" s="4" t="str">
        <f aca="false">IF(AND($A34=$A35,W34=100,W35=100),"full access","")</f>
        <v/>
      </c>
      <c r="AA34" s="4" t="str">
        <f aca="false">IF(AND($A34=$A35,X34=100,X35=100),"full access","")</f>
        <v/>
      </c>
      <c r="AB34" s="9" t="n">
        <f aca="false">IF(AND(ISNUMBER(T34),ISNUMBER(U34)),T34-U34,"")</f>
        <v>0.287045637999998</v>
      </c>
    </row>
    <row r="35" customFormat="false" ht="15" hidden="false" customHeight="false" outlineLevel="0" collapsed="false">
      <c r="A35" s="4" t="s">
        <v>99</v>
      </c>
      <c r="B35" s="4" t="str">
        <f aca="false">IFERROR(INDEX('Region Lookup'!$B$2:$B$233,MATCH(A35,'Region Lookup'!$A$2:$A$233,0)),"Not found")</f>
        <v>South Asia</v>
      </c>
      <c r="C35" s="4" t="n">
        <v>2020</v>
      </c>
      <c r="D35" s="6" t="n">
        <v>164689.3906</v>
      </c>
      <c r="E35" s="7" t="n">
        <v>38.17700195</v>
      </c>
      <c r="F35" s="7" t="n">
        <v>97.69796025</v>
      </c>
      <c r="G35" s="7" t="n">
        <v>1.156425878</v>
      </c>
      <c r="H35" s="7" t="n">
        <v>0.4626557002</v>
      </c>
      <c r="I35" s="7" t="n">
        <v>0.6829581735</v>
      </c>
      <c r="J35" s="7" t="n">
        <v>97.88023776</v>
      </c>
      <c r="K35" s="7" t="n">
        <v>0.8581049804</v>
      </c>
      <c r="L35" s="7" t="n">
        <v>0.3164802414</v>
      </c>
      <c r="M35" s="7" t="n">
        <v>0.9451770151</v>
      </c>
      <c r="N35" s="7" t="n">
        <v>97.40277797</v>
      </c>
      <c r="O35" s="7" t="n">
        <v>1.639520121</v>
      </c>
      <c r="P35" s="7" t="n">
        <v>0.6993752147</v>
      </c>
      <c r="Q35" s="7" t="n">
        <v>0.2583266934</v>
      </c>
      <c r="R35" s="8" t="str">
        <f aca="false">IF($A35=$A36,$C36-$C35,"")</f>
        <v/>
      </c>
      <c r="S35" s="9" t="str">
        <f aca="false">IF(AND($A35=$A36,ISNUMBER(F35),ISNUMBER(F36)),(F36-F35)/($C36-$C35),"")</f>
        <v/>
      </c>
      <c r="T35" s="9" t="str">
        <f aca="false">IF(AND($A35=$A36,ISNUMBER(J35),ISNUMBER(J36)),(J36-J35)/($C36-$C35),"")</f>
        <v/>
      </c>
      <c r="U35" s="9" t="str">
        <f aca="false">IF(AND($A35=$A36,ISNUMBER(N35),ISNUMBER(N36)),(N36-N35)/($C36-$C35),"")</f>
        <v/>
      </c>
      <c r="V35" s="8" t="n">
        <f aca="false">IF(ISNUMBER(F35),ROUND(F35,0),"")</f>
        <v>98</v>
      </c>
      <c r="W35" s="8" t="n">
        <f aca="false">IF(ISNUMBER(J35),ROUND(J35,0),"")</f>
        <v>98</v>
      </c>
      <c r="X35" s="8" t="n">
        <f aca="false">IF(ISNUMBER(N35),ROUND(N35,0),"")</f>
        <v>97</v>
      </c>
      <c r="Y35" s="4" t="str">
        <f aca="false">IF(AND($A35=$A36,V35=100,V36=100),"full access","")</f>
        <v/>
      </c>
      <c r="Z35" s="4" t="str">
        <f aca="false">IF(AND($A35=$A36,W35=100,W36=100),"full access","")</f>
        <v/>
      </c>
      <c r="AA35" s="4" t="str">
        <f aca="false">IF(AND($A35=$A36,X35=100,X36=100),"full access","")</f>
        <v/>
      </c>
      <c r="AB35" s="9" t="str">
        <f aca="false">IF(AND(ISNUMBER(T35),ISNUMBER(U35)),T35-U35,"")</f>
        <v/>
      </c>
    </row>
    <row r="36" customFormat="false" ht="15" hidden="false" customHeight="false" outlineLevel="0" collapsed="false">
      <c r="A36" s="10" t="s">
        <v>100</v>
      </c>
      <c r="B36" s="10" t="str">
        <f aca="false">IFERROR(INDEX('Region Lookup'!$B$2:$B$233,MATCH(A36,'Region Lookup'!$A$2:$A$233,0)),"Not found")</f>
        <v>Latin America &amp; Caribbean</v>
      </c>
      <c r="C36" s="10" t="n">
        <v>2015</v>
      </c>
      <c r="D36" s="11" t="n">
        <v>285.3269958</v>
      </c>
      <c r="E36" s="12" t="n">
        <v>31.24899864</v>
      </c>
      <c r="F36" s="12" t="n">
        <v>98.47444474</v>
      </c>
      <c r="G36" s="12" t="n">
        <v>0.2674919064</v>
      </c>
      <c r="H36" s="12" t="n">
        <v>1.258063351</v>
      </c>
      <c r="I36" s="12" t="n">
        <v>0</v>
      </c>
      <c r="J36" s="12"/>
      <c r="K36" s="12"/>
      <c r="L36" s="12"/>
      <c r="M36" s="12"/>
      <c r="N36" s="12"/>
      <c r="O36" s="12"/>
      <c r="P36" s="12"/>
      <c r="Q36" s="12"/>
      <c r="R36" s="13" t="n">
        <f aca="false">IF($A36=$A37,$C37-$C36,"")</f>
        <v>5</v>
      </c>
      <c r="S36" s="14" t="n">
        <f aca="false">IF(AND($A36=$A37,ISNUMBER(F36),ISNUMBER(F37)),(F37-F36)/($C37-$C36),"")</f>
        <v>0.00800113600000145</v>
      </c>
      <c r="T36" s="14" t="str">
        <f aca="false">IF(AND($A36=$A37,ISNUMBER(J36),ISNUMBER(J37)),(J37-J36)/($C37-$C36),"")</f>
        <v/>
      </c>
      <c r="U36" s="14" t="str">
        <f aca="false">IF(AND($A36=$A37,ISNUMBER(N36),ISNUMBER(N37)),(N37-N36)/($C37-$C36),"")</f>
        <v/>
      </c>
      <c r="V36" s="13" t="n">
        <f aca="false">IF(ISNUMBER(F36),ROUND(F36,0),"")</f>
        <v>98</v>
      </c>
      <c r="W36" s="13" t="str">
        <f aca="false">IF(ISNUMBER(J36),ROUND(J36,0),"")</f>
        <v/>
      </c>
      <c r="X36" s="13" t="str">
        <f aca="false">IF(ISNUMBER(N36),ROUND(N36,0),"")</f>
        <v/>
      </c>
      <c r="Y36" s="10" t="str">
        <f aca="false">IF(AND($A36=$A37,V36=100,V37=100),"full access","")</f>
        <v/>
      </c>
      <c r="Z36" s="10" t="str">
        <f aca="false">IF(AND($A36=$A37,W36=100,W37=100),"full access","")</f>
        <v/>
      </c>
      <c r="AA36" s="10" t="str">
        <f aca="false">IF(AND($A36=$A37,X36=100,X37=100),"full access","")</f>
        <v/>
      </c>
      <c r="AB36" s="14" t="str">
        <f aca="false">IF(AND(ISNUMBER(T36),ISNUMBER(U36)),T36-U36,"")</f>
        <v/>
      </c>
    </row>
    <row r="37" customFormat="false" ht="15" hidden="false" customHeight="false" outlineLevel="0" collapsed="false">
      <c r="A37" s="10" t="s">
        <v>100</v>
      </c>
      <c r="B37" s="10" t="str">
        <f aca="false">IFERROR(INDEX('Region Lookup'!$B$2:$B$233,MATCH(A37,'Region Lookup'!$A$2:$A$233,0)),"Not found")</f>
        <v>Latin America &amp; Caribbean</v>
      </c>
      <c r="C37" s="10" t="n">
        <v>2020</v>
      </c>
      <c r="D37" s="11" t="n">
        <v>287.3710022</v>
      </c>
      <c r="E37" s="12" t="n">
        <v>31.19099998</v>
      </c>
      <c r="F37" s="12" t="n">
        <v>98.51445042</v>
      </c>
      <c r="G37" s="12" t="n">
        <v>0.2676005761</v>
      </c>
      <c r="H37" s="12" t="n">
        <v>1.217949005</v>
      </c>
      <c r="I37" s="12" t="n">
        <v>0</v>
      </c>
      <c r="J37" s="12"/>
      <c r="K37" s="12"/>
      <c r="L37" s="12"/>
      <c r="M37" s="12"/>
      <c r="N37" s="12"/>
      <c r="O37" s="12"/>
      <c r="P37" s="12"/>
      <c r="Q37" s="12"/>
      <c r="R37" s="13" t="str">
        <f aca="false">IF($A37=$A38,$C38-$C37,"")</f>
        <v/>
      </c>
      <c r="S37" s="14" t="str">
        <f aca="false">IF(AND($A37=$A38,ISNUMBER(F37),ISNUMBER(F38)),(F38-F37)/($C38-$C37),"")</f>
        <v/>
      </c>
      <c r="T37" s="14" t="str">
        <f aca="false">IF(AND($A37=$A38,ISNUMBER(J37),ISNUMBER(J38)),(J38-J37)/($C38-$C37),"")</f>
        <v/>
      </c>
      <c r="U37" s="14" t="str">
        <f aca="false">IF(AND($A37=$A38,ISNUMBER(N37),ISNUMBER(N38)),(N38-N37)/($C38-$C37),"")</f>
        <v/>
      </c>
      <c r="V37" s="13" t="n">
        <f aca="false">IF(ISNUMBER(F37),ROUND(F37,0),"")</f>
        <v>99</v>
      </c>
      <c r="W37" s="13" t="str">
        <f aca="false">IF(ISNUMBER(J37),ROUND(J37,0),"")</f>
        <v/>
      </c>
      <c r="X37" s="13" t="str">
        <f aca="false">IF(ISNUMBER(N37),ROUND(N37,0),"")</f>
        <v/>
      </c>
      <c r="Y37" s="10" t="str">
        <f aca="false">IF(AND($A37=$A38,V37=100,V38=100),"full access","")</f>
        <v/>
      </c>
      <c r="Z37" s="10" t="str">
        <f aca="false">IF(AND($A37=$A38,W37=100,W38=100),"full access","")</f>
        <v/>
      </c>
      <c r="AA37" s="10" t="str">
        <f aca="false">IF(AND($A37=$A38,X37=100,X38=100),"full access","")</f>
        <v/>
      </c>
      <c r="AB37" s="14" t="str">
        <f aca="false">IF(AND(ISNUMBER(T37),ISNUMBER(U37)),T37-U37,"")</f>
        <v/>
      </c>
    </row>
    <row r="38" customFormat="false" ht="15" hidden="false" customHeight="false" outlineLevel="0" collapsed="false">
      <c r="A38" s="4" t="s">
        <v>101</v>
      </c>
      <c r="B38" s="4" t="str">
        <f aca="false">IFERROR(INDEX('Region Lookup'!$B$2:$B$233,MATCH(A38,'Region Lookup'!$A$2:$A$233,0)),"Not found")</f>
        <v>Europe &amp; Central Asia</v>
      </c>
      <c r="C38" s="4" t="n">
        <v>2015</v>
      </c>
      <c r="D38" s="6" t="n">
        <v>9439.423828</v>
      </c>
      <c r="E38" s="7" t="n">
        <v>77.18099976</v>
      </c>
      <c r="F38" s="7" t="n">
        <v>96.47706709</v>
      </c>
      <c r="G38" s="7" t="n">
        <v>3.300130108</v>
      </c>
      <c r="H38" s="7" t="n">
        <v>0.2228027995</v>
      </c>
      <c r="I38" s="7" t="n">
        <v>0</v>
      </c>
      <c r="J38" s="7" t="n">
        <v>98.3306716</v>
      </c>
      <c r="K38" s="7" t="n">
        <v>0.9932391071</v>
      </c>
      <c r="L38" s="7" t="n">
        <v>0.6760892895</v>
      </c>
      <c r="M38" s="7" t="n">
        <v>0</v>
      </c>
      <c r="N38" s="7" t="n">
        <v>95.92903518</v>
      </c>
      <c r="O38" s="7" t="n">
        <v>3.982175393</v>
      </c>
      <c r="P38" s="7" t="n">
        <v>0.08878942383</v>
      </c>
      <c r="Q38" s="7" t="n">
        <v>0</v>
      </c>
      <c r="R38" s="8" t="n">
        <f aca="false">IF($A38=$A39,$C39-$C38,"")</f>
        <v>5</v>
      </c>
      <c r="S38" s="9" t="n">
        <f aca="false">IF(AND($A38=$A39,ISNUMBER(F38),ISNUMBER(F39)),(F39-F38)/($C39-$C38),"")</f>
        <v>0.0115317979999986</v>
      </c>
      <c r="T38" s="9" t="n">
        <f aca="false">IF(AND($A38=$A39,ISNUMBER(J38),ISNUMBER(J39)),(J39-J38)/($C39-$C38),"")</f>
        <v>0.0466901419999999</v>
      </c>
      <c r="U38" s="9" t="n">
        <f aca="false">IF(AND($A38=$A39,ISNUMBER(N38),ISNUMBER(N39)),(N39-N38)/($C39-$C38),"")</f>
        <v>0.0163676879999997</v>
      </c>
      <c r="V38" s="8" t="n">
        <f aca="false">IF(ISNUMBER(F38),ROUND(F38,0),"")</f>
        <v>96</v>
      </c>
      <c r="W38" s="8" t="n">
        <f aca="false">IF(ISNUMBER(J38),ROUND(J38,0),"")</f>
        <v>98</v>
      </c>
      <c r="X38" s="8" t="n">
        <f aca="false">IF(ISNUMBER(N38),ROUND(N38,0),"")</f>
        <v>96</v>
      </c>
      <c r="Y38" s="4" t="str">
        <f aca="false">IF(AND($A38=$A39,V38=100,V39=100),"full access","")</f>
        <v/>
      </c>
      <c r="Z38" s="4" t="str">
        <f aca="false">IF(AND($A38=$A39,W38=100,W39=100),"full access","")</f>
        <v/>
      </c>
      <c r="AA38" s="4" t="str">
        <f aca="false">IF(AND($A38=$A39,X38=100,X39=100),"full access","")</f>
        <v/>
      </c>
      <c r="AB38" s="9" t="n">
        <f aca="false">IF(AND(ISNUMBER(T38),ISNUMBER(U38)),T38-U38,"")</f>
        <v>0.0303224540000002</v>
      </c>
    </row>
    <row r="39" customFormat="false" ht="15" hidden="false" customHeight="false" outlineLevel="0" collapsed="false">
      <c r="A39" s="4" t="s">
        <v>101</v>
      </c>
      <c r="B39" s="4" t="str">
        <f aca="false">IFERROR(INDEX('Region Lookup'!$B$2:$B$233,MATCH(A39,'Region Lookup'!$A$2:$A$233,0)),"Not found")</f>
        <v>Europe &amp; Central Asia</v>
      </c>
      <c r="C39" s="4" t="n">
        <v>2020</v>
      </c>
      <c r="D39" s="6" t="n">
        <v>9449.321289</v>
      </c>
      <c r="E39" s="7" t="n">
        <v>79.48300171</v>
      </c>
      <c r="F39" s="7" t="n">
        <v>96.53472608</v>
      </c>
      <c r="G39" s="7" t="n">
        <v>3.37211955</v>
      </c>
      <c r="H39" s="7" t="n">
        <v>0.09315436837</v>
      </c>
      <c r="I39" s="7" t="n">
        <v>0</v>
      </c>
      <c r="J39" s="7" t="n">
        <v>98.56412231</v>
      </c>
      <c r="K39" s="7" t="n">
        <v>0.9955971951</v>
      </c>
      <c r="L39" s="7" t="n">
        <v>0.4402804931</v>
      </c>
      <c r="M39" s="7" t="n">
        <v>0</v>
      </c>
      <c r="N39" s="7" t="n">
        <v>96.01087362</v>
      </c>
      <c r="O39" s="7" t="n">
        <v>3.985572644</v>
      </c>
      <c r="P39" s="7" t="n">
        <v>0.003553731977</v>
      </c>
      <c r="Q39" s="7" t="n">
        <v>0</v>
      </c>
      <c r="R39" s="8" t="str">
        <f aca="false">IF($A39=$A40,$C40-$C39,"")</f>
        <v/>
      </c>
      <c r="S39" s="9" t="str">
        <f aca="false">IF(AND($A39=$A40,ISNUMBER(F39),ISNUMBER(F40)),(F40-F39)/($C40-$C39),"")</f>
        <v/>
      </c>
      <c r="T39" s="9" t="str">
        <f aca="false">IF(AND($A39=$A40,ISNUMBER(J39),ISNUMBER(J40)),(J40-J39)/($C40-$C39),"")</f>
        <v/>
      </c>
      <c r="U39" s="9" t="str">
        <f aca="false">IF(AND($A39=$A40,ISNUMBER(N39),ISNUMBER(N40)),(N40-N39)/($C40-$C39),"")</f>
        <v/>
      </c>
      <c r="V39" s="8" t="n">
        <f aca="false">IF(ISNUMBER(F39),ROUND(F39,0),"")</f>
        <v>97</v>
      </c>
      <c r="W39" s="8" t="n">
        <f aca="false">IF(ISNUMBER(J39),ROUND(J39,0),"")</f>
        <v>99</v>
      </c>
      <c r="X39" s="8" t="n">
        <f aca="false">IF(ISNUMBER(N39),ROUND(N39,0),"")</f>
        <v>96</v>
      </c>
      <c r="Y39" s="4" t="str">
        <f aca="false">IF(AND($A39=$A40,V39=100,V40=100),"full access","")</f>
        <v/>
      </c>
      <c r="Z39" s="4" t="str">
        <f aca="false">IF(AND($A39=$A40,W39=100,W40=100),"full access","")</f>
        <v/>
      </c>
      <c r="AA39" s="4" t="str">
        <f aca="false">IF(AND($A39=$A40,X39=100,X40=100),"full access","")</f>
        <v/>
      </c>
      <c r="AB39" s="9" t="str">
        <f aca="false">IF(AND(ISNUMBER(T39),ISNUMBER(U39)),T39-U39,"")</f>
        <v/>
      </c>
    </row>
    <row r="40" customFormat="false" ht="15" hidden="false" customHeight="false" outlineLevel="0" collapsed="false">
      <c r="A40" s="10" t="s">
        <v>102</v>
      </c>
      <c r="B40" s="10" t="str">
        <f aca="false">IFERROR(INDEX('Region Lookup'!$B$2:$B$233,MATCH(A40,'Region Lookup'!$A$2:$A$233,0)),"Not found")</f>
        <v>Europe &amp; Central Asia</v>
      </c>
      <c r="C40" s="10" t="n">
        <v>2015</v>
      </c>
      <c r="D40" s="11" t="n">
        <v>11287.93066</v>
      </c>
      <c r="E40" s="12" t="n">
        <v>97.87599945</v>
      </c>
      <c r="F40" s="12" t="n">
        <v>99.9999977</v>
      </c>
      <c r="G40" s="12" t="n">
        <v>0</v>
      </c>
      <c r="H40" s="12" t="n">
        <v>2.298024512E-006</v>
      </c>
      <c r="I40" s="12" t="n">
        <v>0</v>
      </c>
      <c r="J40" s="12" t="n">
        <v>100</v>
      </c>
      <c r="K40" s="12" t="n">
        <v>0</v>
      </c>
      <c r="L40" s="12" t="n">
        <v>0</v>
      </c>
      <c r="M40" s="12" t="n">
        <v>0</v>
      </c>
      <c r="N40" s="12" t="n">
        <v>100</v>
      </c>
      <c r="O40" s="12" t="n">
        <v>0</v>
      </c>
      <c r="P40" s="12" t="n">
        <v>0</v>
      </c>
      <c r="Q40" s="12" t="n">
        <v>0</v>
      </c>
      <c r="R40" s="13" t="n">
        <f aca="false">IF($A40=$A41,$C41-$C40,"")</f>
        <v>5</v>
      </c>
      <c r="S40" s="14" t="n">
        <f aca="false">IF(AND($A40=$A41,ISNUMBER(F40),ISNUMBER(F41)),(F41-F40)/($C41-$C40),"")</f>
        <v>-2.49999999368811E-007</v>
      </c>
      <c r="T40" s="14" t="n">
        <f aca="false">IF(AND($A40=$A41,ISNUMBER(J40),ISNUMBER(J41)),(J41-J40)/($C41-$C40),"")</f>
        <v>0</v>
      </c>
      <c r="U40" s="14" t="n">
        <f aca="false">IF(AND($A40=$A41,ISNUMBER(N40),ISNUMBER(N41)),(N41-N40)/($C41-$C40),"")</f>
        <v>0</v>
      </c>
      <c r="V40" s="13" t="n">
        <f aca="false">IF(ISNUMBER(F40),ROUND(F40,0),"")</f>
        <v>100</v>
      </c>
      <c r="W40" s="13" t="n">
        <f aca="false">IF(ISNUMBER(J40),ROUND(J40,0),"")</f>
        <v>100</v>
      </c>
      <c r="X40" s="13" t="n">
        <f aca="false">IF(ISNUMBER(N40),ROUND(N40,0),"")</f>
        <v>100</v>
      </c>
      <c r="Y40" s="10" t="str">
        <f aca="false">IF(AND($A40=$A41,V40=100,V41=100),"full access","")</f>
        <v>full access</v>
      </c>
      <c r="Z40" s="10" t="str">
        <f aca="false">IF(AND($A40=$A41,W40=100,W41=100),"full access","")</f>
        <v>full access</v>
      </c>
      <c r="AA40" s="10" t="str">
        <f aca="false">IF(AND($A40=$A41,X40=100,X41=100),"full access","")</f>
        <v>full access</v>
      </c>
      <c r="AB40" s="14" t="n">
        <f aca="false">IF(AND(ISNUMBER(T40),ISNUMBER(U40)),T40-U40,"")</f>
        <v>0</v>
      </c>
    </row>
    <row r="41" customFormat="false" ht="15" hidden="false" customHeight="false" outlineLevel="0" collapsed="false">
      <c r="A41" s="10" t="s">
        <v>102</v>
      </c>
      <c r="B41" s="10" t="str">
        <f aca="false">IFERROR(INDEX('Region Lookup'!$B$2:$B$233,MATCH(A41,'Region Lookup'!$A$2:$A$233,0)),"Not found")</f>
        <v>Europe &amp; Central Asia</v>
      </c>
      <c r="C41" s="10" t="n">
        <v>2020</v>
      </c>
      <c r="D41" s="11" t="n">
        <v>11589.61621</v>
      </c>
      <c r="E41" s="12" t="n">
        <v>98.07899475</v>
      </c>
      <c r="F41" s="12" t="n">
        <v>99.99999645</v>
      </c>
      <c r="G41" s="12" t="n">
        <v>0</v>
      </c>
      <c r="H41" s="12" t="n">
        <v>3.554796791E-006</v>
      </c>
      <c r="I41" s="12" t="n">
        <v>0</v>
      </c>
      <c r="J41" s="12" t="n">
        <v>100</v>
      </c>
      <c r="K41" s="12" t="n">
        <v>0</v>
      </c>
      <c r="L41" s="12" t="n">
        <v>0</v>
      </c>
      <c r="M41" s="12" t="n">
        <v>0</v>
      </c>
      <c r="N41" s="12" t="n">
        <v>100</v>
      </c>
      <c r="O41" s="12" t="n">
        <v>0</v>
      </c>
      <c r="P41" s="12" t="n">
        <v>0</v>
      </c>
      <c r="Q41" s="12" t="n">
        <v>0</v>
      </c>
      <c r="R41" s="13" t="str">
        <f aca="false">IF($A41=$A42,$C42-$C41,"")</f>
        <v/>
      </c>
      <c r="S41" s="14" t="str">
        <f aca="false">IF(AND($A41=$A42,ISNUMBER(F41),ISNUMBER(F42)),(F42-F41)/($C42-$C41),"")</f>
        <v/>
      </c>
      <c r="T41" s="14" t="str">
        <f aca="false">IF(AND($A41=$A42,ISNUMBER(J41),ISNUMBER(J42)),(J42-J41)/($C42-$C41),"")</f>
        <v/>
      </c>
      <c r="U41" s="14" t="str">
        <f aca="false">IF(AND($A41=$A42,ISNUMBER(N41),ISNUMBER(N42)),(N42-N41)/($C42-$C41),"")</f>
        <v/>
      </c>
      <c r="V41" s="13" t="n">
        <f aca="false">IF(ISNUMBER(F41),ROUND(F41,0),"")</f>
        <v>100</v>
      </c>
      <c r="W41" s="13" t="n">
        <f aca="false">IF(ISNUMBER(J41),ROUND(J41,0),"")</f>
        <v>100</v>
      </c>
      <c r="X41" s="13" t="n">
        <f aca="false">IF(ISNUMBER(N41),ROUND(N41,0),"")</f>
        <v>100</v>
      </c>
      <c r="Y41" s="10" t="str">
        <f aca="false">IF(AND($A41=$A42,V41=100,V42=100),"full access","")</f>
        <v/>
      </c>
      <c r="Z41" s="10" t="str">
        <f aca="false">IF(AND($A41=$A42,W41=100,W42=100),"full access","")</f>
        <v/>
      </c>
      <c r="AA41" s="10" t="str">
        <f aca="false">IF(AND($A41=$A42,X41=100,X42=100),"full access","")</f>
        <v/>
      </c>
      <c r="AB41" s="14" t="str">
        <f aca="false">IF(AND(ISNUMBER(T41),ISNUMBER(U41)),T41-U41,"")</f>
        <v/>
      </c>
    </row>
    <row r="42" customFormat="false" ht="15" hidden="false" customHeight="false" outlineLevel="0" collapsed="false">
      <c r="A42" s="4" t="s">
        <v>103</v>
      </c>
      <c r="B42" s="4" t="str">
        <f aca="false">IFERROR(INDEX('Region Lookup'!$B$2:$B$233,MATCH(A42,'Region Lookup'!$A$2:$A$233,0)),"Not found")</f>
        <v>Latin America &amp; Caribbean</v>
      </c>
      <c r="C42" s="4" t="n">
        <v>2015</v>
      </c>
      <c r="D42" s="6" t="n">
        <v>360.9259949</v>
      </c>
      <c r="E42" s="7" t="n">
        <v>45.40599823</v>
      </c>
      <c r="F42" s="7" t="n">
        <v>97.17559498</v>
      </c>
      <c r="G42" s="7" t="n">
        <v>1.227940493</v>
      </c>
      <c r="H42" s="7" t="n">
        <v>1.568222535</v>
      </c>
      <c r="I42" s="7" t="n">
        <v>0.02824198817</v>
      </c>
      <c r="J42" s="7" t="n">
        <v>95.65383206</v>
      </c>
      <c r="K42" s="7" t="n">
        <v>1.421919005</v>
      </c>
      <c r="L42" s="7" t="n">
        <v>2.872517994</v>
      </c>
      <c r="M42" s="7" t="n">
        <v>0.05173093576</v>
      </c>
      <c r="N42" s="7" t="n">
        <v>99.00529</v>
      </c>
      <c r="O42" s="7" t="n">
        <v>0.99471</v>
      </c>
      <c r="P42" s="7" t="n">
        <v>0</v>
      </c>
      <c r="Q42" s="7" t="n">
        <v>0</v>
      </c>
      <c r="R42" s="8" t="n">
        <f aca="false">IF($A42=$A43,$C43-$C42,"")</f>
        <v>5</v>
      </c>
      <c r="S42" s="9" t="n">
        <f aca="false">IF(AND($A42=$A43,ISNUMBER(F42),ISNUMBER(F43)),(F43-F42)/($C43-$C42),"")</f>
        <v>0.245271930000001</v>
      </c>
      <c r="T42" s="9" t="n">
        <f aca="false">IF(AND($A42=$A43,ISNUMBER(J42),ISNUMBER(J43)),(J43-J42)/($C43-$C42),"")</f>
        <v>0.468275104</v>
      </c>
      <c r="U42" s="9" t="n">
        <f aca="false">IF(AND($A42=$A43,ISNUMBER(N42),ISNUMBER(N43)),(N43-N42)/($C43-$C42),"")</f>
        <v>-0.0252659999999992</v>
      </c>
      <c r="V42" s="8" t="n">
        <f aca="false">IF(ISNUMBER(F42),ROUND(F42,0),"")</f>
        <v>97</v>
      </c>
      <c r="W42" s="8" t="n">
        <f aca="false">IF(ISNUMBER(J42),ROUND(J42,0),"")</f>
        <v>96</v>
      </c>
      <c r="X42" s="8" t="n">
        <f aca="false">IF(ISNUMBER(N42),ROUND(N42,0),"")</f>
        <v>99</v>
      </c>
      <c r="Y42" s="4" t="str">
        <f aca="false">IF(AND($A42=$A43,V42=100,V43=100),"full access","")</f>
        <v/>
      </c>
      <c r="Z42" s="4" t="str">
        <f aca="false">IF(AND($A42=$A43,W42=100,W43=100),"full access","")</f>
        <v/>
      </c>
      <c r="AA42" s="4" t="str">
        <f aca="false">IF(AND($A42=$A43,X42=100,X43=100),"full access","")</f>
        <v/>
      </c>
      <c r="AB42" s="9" t="n">
        <f aca="false">IF(AND(ISNUMBER(T42),ISNUMBER(U42)),T42-U42,"")</f>
        <v>0.493541103999999</v>
      </c>
    </row>
    <row r="43" customFormat="false" ht="15" hidden="false" customHeight="false" outlineLevel="0" collapsed="false">
      <c r="A43" s="4" t="s">
        <v>103</v>
      </c>
      <c r="B43" s="4" t="str">
        <f aca="false">IFERROR(INDEX('Region Lookup'!$B$2:$B$233,MATCH(A43,'Region Lookup'!$A$2:$A$233,0)),"Not found")</f>
        <v>Latin America &amp; Caribbean</v>
      </c>
      <c r="C43" s="4" t="n">
        <v>2020</v>
      </c>
      <c r="D43" s="6" t="n">
        <v>397.6210022</v>
      </c>
      <c r="E43" s="7" t="n">
        <v>46.02500153</v>
      </c>
      <c r="F43" s="7" t="n">
        <v>98.40195463</v>
      </c>
      <c r="G43" s="7" t="n">
        <v>1.249110629</v>
      </c>
      <c r="H43" s="7" t="n">
        <v>0.3489347411</v>
      </c>
      <c r="I43" s="7" t="n">
        <v>0</v>
      </c>
      <c r="J43" s="7" t="n">
        <v>97.99520758</v>
      </c>
      <c r="K43" s="7" t="n">
        <v>1.358317682</v>
      </c>
      <c r="L43" s="7" t="n">
        <v>0.6464747393</v>
      </c>
      <c r="M43" s="7" t="n">
        <v>0</v>
      </c>
      <c r="N43" s="7" t="n">
        <v>98.87896</v>
      </c>
      <c r="O43" s="7" t="n">
        <v>1.12104</v>
      </c>
      <c r="P43" s="7" t="n">
        <v>0</v>
      </c>
      <c r="Q43" s="7" t="n">
        <v>0</v>
      </c>
      <c r="R43" s="8" t="str">
        <f aca="false">IF($A43=$A44,$C44-$C43,"")</f>
        <v/>
      </c>
      <c r="S43" s="9" t="str">
        <f aca="false">IF(AND($A43=$A44,ISNUMBER(F43),ISNUMBER(F44)),(F44-F43)/($C44-$C43),"")</f>
        <v/>
      </c>
      <c r="T43" s="9" t="str">
        <f aca="false">IF(AND($A43=$A44,ISNUMBER(J43),ISNUMBER(J44)),(J44-J43)/($C44-$C43),"")</f>
        <v/>
      </c>
      <c r="U43" s="9" t="str">
        <f aca="false">IF(AND($A43=$A44,ISNUMBER(N43),ISNUMBER(N44)),(N44-N43)/($C44-$C43),"")</f>
        <v/>
      </c>
      <c r="V43" s="8" t="n">
        <f aca="false">IF(ISNUMBER(F43),ROUND(F43,0),"")</f>
        <v>98</v>
      </c>
      <c r="W43" s="8" t="n">
        <f aca="false">IF(ISNUMBER(J43),ROUND(J43,0),"")</f>
        <v>98</v>
      </c>
      <c r="X43" s="8" t="n">
        <f aca="false">IF(ISNUMBER(N43),ROUND(N43,0),"")</f>
        <v>99</v>
      </c>
      <c r="Y43" s="4" t="str">
        <f aca="false">IF(AND($A43=$A44,V43=100,V44=100),"full access","")</f>
        <v/>
      </c>
      <c r="Z43" s="4" t="str">
        <f aca="false">IF(AND($A43=$A44,W43=100,W44=100),"full access","")</f>
        <v/>
      </c>
      <c r="AA43" s="4" t="str">
        <f aca="false">IF(AND($A43=$A44,X43=100,X44=100),"full access","")</f>
        <v/>
      </c>
      <c r="AB43" s="9" t="str">
        <f aca="false">IF(AND(ISNUMBER(T43),ISNUMBER(U43)),T43-U43,"")</f>
        <v/>
      </c>
    </row>
    <row r="44" customFormat="false" ht="15" hidden="false" customHeight="false" outlineLevel="0" collapsed="false">
      <c r="A44" s="10" t="s">
        <v>104</v>
      </c>
      <c r="B44" s="10" t="str">
        <f aca="false">IFERROR(INDEX('Region Lookup'!$B$2:$B$233,MATCH(A44,'Region Lookup'!$A$2:$A$233,0)),"Not found")</f>
        <v>Sub-Saharan Africa</v>
      </c>
      <c r="C44" s="10" t="n">
        <v>2015</v>
      </c>
      <c r="D44" s="11" t="n">
        <v>10575.96191</v>
      </c>
      <c r="E44" s="12" t="n">
        <v>45.69500351</v>
      </c>
      <c r="F44" s="12" t="n">
        <v>64.7868223</v>
      </c>
      <c r="G44" s="12" t="n">
        <v>8.715470654</v>
      </c>
      <c r="H44" s="12" t="n">
        <v>21.29846434</v>
      </c>
      <c r="I44" s="12" t="n">
        <v>5.199242713</v>
      </c>
      <c r="J44" s="12" t="n">
        <v>56.78435247</v>
      </c>
      <c r="K44" s="12" t="n">
        <v>11.70337067</v>
      </c>
      <c r="L44" s="12" t="n">
        <v>23.77497857</v>
      </c>
      <c r="M44" s="12" t="n">
        <v>7.737298286</v>
      </c>
      <c r="N44" s="12" t="n">
        <v>74.29714256</v>
      </c>
      <c r="O44" s="12" t="n">
        <v>5.164581154</v>
      </c>
      <c r="P44" s="12" t="n">
        <v>18.35531753</v>
      </c>
      <c r="Q44" s="12" t="n">
        <v>2.182958756</v>
      </c>
      <c r="R44" s="13" t="n">
        <f aca="false">IF($A44=$A45,$C45-$C44,"")</f>
        <v>5</v>
      </c>
      <c r="S44" s="14" t="n">
        <f aca="false">IF(AND($A44=$A45,ISNUMBER(F44),ISNUMBER(F45)),(F45-F44)/($C45-$C44),"")</f>
        <v>0.125460138</v>
      </c>
      <c r="T44" s="14" t="n">
        <f aca="false">IF(AND($A44=$A45,ISNUMBER(J44),ISNUMBER(J45)),(J45-J44)/($C45-$C44),"")</f>
        <v>0.253583103999999</v>
      </c>
      <c r="U44" s="14" t="n">
        <f aca="false">IF(AND($A44=$A45,ISNUMBER(N44),ISNUMBER(N45)),(N45-N44)/($C45-$C44),"")</f>
        <v>-0.207828504</v>
      </c>
      <c r="V44" s="13" t="n">
        <f aca="false">IF(ISNUMBER(F44),ROUND(F44,0),"")</f>
        <v>65</v>
      </c>
      <c r="W44" s="13" t="n">
        <f aca="false">IF(ISNUMBER(J44),ROUND(J44,0),"")</f>
        <v>57</v>
      </c>
      <c r="X44" s="13" t="n">
        <f aca="false">IF(ISNUMBER(N44),ROUND(N44,0),"")</f>
        <v>74</v>
      </c>
      <c r="Y44" s="10" t="str">
        <f aca="false">IF(AND($A44=$A45,V44=100,V45=100),"full access","")</f>
        <v/>
      </c>
      <c r="Z44" s="10" t="str">
        <f aca="false">IF(AND($A44=$A45,W44=100,W45=100),"full access","")</f>
        <v/>
      </c>
      <c r="AA44" s="10" t="str">
        <f aca="false">IF(AND($A44=$A45,X44=100,X45=100),"full access","")</f>
        <v/>
      </c>
      <c r="AB44" s="14" t="n">
        <f aca="false">IF(AND(ISNUMBER(T44),ISNUMBER(U44)),T44-U44,"")</f>
        <v>0.461411607999999</v>
      </c>
    </row>
    <row r="45" customFormat="false" ht="15" hidden="false" customHeight="false" outlineLevel="0" collapsed="false">
      <c r="A45" s="10" t="s">
        <v>104</v>
      </c>
      <c r="B45" s="10" t="str">
        <f aca="false">IFERROR(INDEX('Region Lookup'!$B$2:$B$233,MATCH(A45,'Region Lookup'!$A$2:$A$233,0)),"Not found")</f>
        <v>Sub-Saharan Africa</v>
      </c>
      <c r="C45" s="10" t="n">
        <v>2020</v>
      </c>
      <c r="D45" s="11" t="n">
        <v>12123.19824</v>
      </c>
      <c r="E45" s="12" t="n">
        <v>48.4149971</v>
      </c>
      <c r="F45" s="12" t="n">
        <v>65.41412299</v>
      </c>
      <c r="G45" s="12" t="n">
        <v>9.317535586</v>
      </c>
      <c r="H45" s="12" t="n">
        <v>21.97254088</v>
      </c>
      <c r="I45" s="12" t="n">
        <v>3.295800547</v>
      </c>
      <c r="J45" s="12" t="n">
        <v>58.05226799</v>
      </c>
      <c r="K45" s="12" t="n">
        <v>12.70520504</v>
      </c>
      <c r="L45" s="12" t="n">
        <v>23.97796833</v>
      </c>
      <c r="M45" s="12" t="n">
        <v>5.264558634</v>
      </c>
      <c r="N45" s="12" t="n">
        <v>73.25800004</v>
      </c>
      <c r="O45" s="12" t="n">
        <v>5.708056353</v>
      </c>
      <c r="P45" s="12" t="n">
        <v>19.83580681</v>
      </c>
      <c r="Q45" s="12" t="n">
        <v>1.198136794</v>
      </c>
      <c r="R45" s="13" t="str">
        <f aca="false">IF($A45=$A46,$C46-$C45,"")</f>
        <v/>
      </c>
      <c r="S45" s="14" t="str">
        <f aca="false">IF(AND($A45=$A46,ISNUMBER(F45),ISNUMBER(F46)),(F46-F45)/($C46-$C45),"")</f>
        <v/>
      </c>
      <c r="T45" s="14" t="str">
        <f aca="false">IF(AND($A45=$A46,ISNUMBER(J45),ISNUMBER(J46)),(J46-J45)/($C46-$C45),"")</f>
        <v/>
      </c>
      <c r="U45" s="14" t="str">
        <f aca="false">IF(AND($A45=$A46,ISNUMBER(N45),ISNUMBER(N46)),(N46-N45)/($C46-$C45),"")</f>
        <v/>
      </c>
      <c r="V45" s="13" t="n">
        <f aca="false">IF(ISNUMBER(F45),ROUND(F45,0),"")</f>
        <v>65</v>
      </c>
      <c r="W45" s="13" t="n">
        <f aca="false">IF(ISNUMBER(J45),ROUND(J45,0),"")</f>
        <v>58</v>
      </c>
      <c r="X45" s="13" t="n">
        <f aca="false">IF(ISNUMBER(N45),ROUND(N45,0),"")</f>
        <v>73</v>
      </c>
      <c r="Y45" s="10" t="str">
        <f aca="false">IF(AND($A45=$A46,V45=100,V46=100),"full access","")</f>
        <v/>
      </c>
      <c r="Z45" s="10" t="str">
        <f aca="false">IF(AND($A45=$A46,W45=100,W46=100),"full access","")</f>
        <v/>
      </c>
      <c r="AA45" s="10" t="str">
        <f aca="false">IF(AND($A45=$A46,X45=100,X46=100),"full access","")</f>
        <v/>
      </c>
      <c r="AB45" s="14" t="str">
        <f aca="false">IF(AND(ISNUMBER(T45),ISNUMBER(U45)),T45-U45,"")</f>
        <v/>
      </c>
    </row>
    <row r="46" customFormat="false" ht="15" hidden="false" customHeight="false" outlineLevel="0" collapsed="false">
      <c r="A46" s="4" t="s">
        <v>105</v>
      </c>
      <c r="B46" s="4" t="str">
        <f aca="false">IFERROR(INDEX('Region Lookup'!$B$2:$B$233,MATCH(A46,'Region Lookup'!$A$2:$A$233,0)),"Not found")</f>
        <v>North America</v>
      </c>
      <c r="C46" s="4" t="n">
        <v>2015</v>
      </c>
      <c r="D46" s="6" t="n">
        <v>63.69499969</v>
      </c>
      <c r="E46" s="7" t="n">
        <v>100</v>
      </c>
      <c r="F46" s="7" t="n">
        <v>99.90314002</v>
      </c>
      <c r="G46" s="7" t="n">
        <v>0</v>
      </c>
      <c r="H46" s="7" t="n">
        <v>0.09685998294</v>
      </c>
      <c r="I46" s="7" t="n">
        <v>0</v>
      </c>
      <c r="J46" s="7"/>
      <c r="K46" s="7"/>
      <c r="L46" s="7"/>
      <c r="M46" s="7"/>
      <c r="N46" s="7" t="n">
        <v>99.90314002</v>
      </c>
      <c r="O46" s="7" t="n">
        <v>0</v>
      </c>
      <c r="P46" s="7" t="n">
        <v>0.09685998294</v>
      </c>
      <c r="Q46" s="7" t="n">
        <v>0</v>
      </c>
      <c r="R46" s="8" t="n">
        <f aca="false">IF($A46=$A47,$C47-$C46,"")</f>
        <v>5</v>
      </c>
      <c r="S46" s="9" t="n">
        <f aca="false">IF(AND($A46=$A47,ISNUMBER(F46),ISNUMBER(F47)),(F47-F46)/($C47-$C46),"")</f>
        <v>0</v>
      </c>
      <c r="T46" s="9" t="str">
        <f aca="false">IF(AND($A46=$A47,ISNUMBER(J46),ISNUMBER(J47)),(J47-J46)/($C47-$C46),"")</f>
        <v/>
      </c>
      <c r="U46" s="9" t="n">
        <f aca="false">IF(AND($A46=$A47,ISNUMBER(N46),ISNUMBER(N47)),(N47-N46)/($C47-$C46),"")</f>
        <v>0</v>
      </c>
      <c r="V46" s="8" t="n">
        <f aca="false">IF(ISNUMBER(F46),ROUND(F46,0),"")</f>
        <v>100</v>
      </c>
      <c r="W46" s="8" t="str">
        <f aca="false">IF(ISNUMBER(J46),ROUND(J46,0),"")</f>
        <v/>
      </c>
      <c r="X46" s="8" t="n">
        <f aca="false">IF(ISNUMBER(N46),ROUND(N46,0),"")</f>
        <v>100</v>
      </c>
      <c r="Y46" s="4" t="str">
        <f aca="false">IF(AND($A46=$A47,V46=100,V47=100),"full access","")</f>
        <v>full access</v>
      </c>
      <c r="Z46" s="4" t="str">
        <f aca="false">IF(AND($A46=$A47,W46=100,W47=100),"full access","")</f>
        <v/>
      </c>
      <c r="AA46" s="4" t="str">
        <f aca="false">IF(AND($A46=$A47,X46=100,X47=100),"full access","")</f>
        <v>full access</v>
      </c>
      <c r="AB46" s="9" t="str">
        <f aca="false">IF(AND(ISNUMBER(T46),ISNUMBER(U46)),T46-U46,"")</f>
        <v/>
      </c>
    </row>
    <row r="47" customFormat="false" ht="15" hidden="false" customHeight="false" outlineLevel="0" collapsed="false">
      <c r="A47" s="4" t="s">
        <v>105</v>
      </c>
      <c r="B47" s="4" t="str">
        <f aca="false">IFERROR(INDEX('Region Lookup'!$B$2:$B$233,MATCH(A47,'Region Lookup'!$A$2:$A$233,0)),"Not found")</f>
        <v>North America</v>
      </c>
      <c r="C47" s="4" t="n">
        <v>2020</v>
      </c>
      <c r="D47" s="6" t="n">
        <v>62.27299881</v>
      </c>
      <c r="E47" s="7" t="n">
        <v>100</v>
      </c>
      <c r="F47" s="7" t="n">
        <v>99.90314002</v>
      </c>
      <c r="G47" s="7" t="n">
        <v>0</v>
      </c>
      <c r="H47" s="7" t="n">
        <v>0.09685998294</v>
      </c>
      <c r="I47" s="7" t="n">
        <v>0</v>
      </c>
      <c r="J47" s="7"/>
      <c r="K47" s="7"/>
      <c r="L47" s="7"/>
      <c r="M47" s="7"/>
      <c r="N47" s="7" t="n">
        <v>99.90314002</v>
      </c>
      <c r="O47" s="7" t="n">
        <v>0</v>
      </c>
      <c r="P47" s="7" t="n">
        <v>0.09685998294</v>
      </c>
      <c r="Q47" s="7" t="n">
        <v>0</v>
      </c>
      <c r="R47" s="8" t="str">
        <f aca="false">IF($A47=$A48,$C48-$C47,"")</f>
        <v/>
      </c>
      <c r="S47" s="9" t="str">
        <f aca="false">IF(AND($A47=$A48,ISNUMBER(F47),ISNUMBER(F48)),(F48-F47)/($C48-$C47),"")</f>
        <v/>
      </c>
      <c r="T47" s="9" t="str">
        <f aca="false">IF(AND($A47=$A48,ISNUMBER(J47),ISNUMBER(J48)),(J48-J47)/($C48-$C47),"")</f>
        <v/>
      </c>
      <c r="U47" s="9" t="str">
        <f aca="false">IF(AND($A47=$A48,ISNUMBER(N47),ISNUMBER(N48)),(N48-N47)/($C48-$C47),"")</f>
        <v/>
      </c>
      <c r="V47" s="8" t="n">
        <f aca="false">IF(ISNUMBER(F47),ROUND(F47,0),"")</f>
        <v>100</v>
      </c>
      <c r="W47" s="8" t="str">
        <f aca="false">IF(ISNUMBER(J47),ROUND(J47,0),"")</f>
        <v/>
      </c>
      <c r="X47" s="8" t="n">
        <f aca="false">IF(ISNUMBER(N47),ROUND(N47,0),"")</f>
        <v>100</v>
      </c>
      <c r="Y47" s="4" t="str">
        <f aca="false">IF(AND($A47=$A48,V47=100,V48=100),"full access","")</f>
        <v/>
      </c>
      <c r="Z47" s="4" t="str">
        <f aca="false">IF(AND($A47=$A48,W47=100,W48=100),"full access","")</f>
        <v/>
      </c>
      <c r="AA47" s="4" t="str">
        <f aca="false">IF(AND($A47=$A48,X47=100,X48=100),"full access","")</f>
        <v/>
      </c>
      <c r="AB47" s="9" t="str">
        <f aca="false">IF(AND(ISNUMBER(T47),ISNUMBER(U47)),T47-U47,"")</f>
        <v/>
      </c>
    </row>
    <row r="48" customFormat="false" ht="15" hidden="false" customHeight="false" outlineLevel="0" collapsed="false">
      <c r="A48" s="10" t="s">
        <v>106</v>
      </c>
      <c r="B48" s="10" t="str">
        <f aca="false">IFERROR(INDEX('Region Lookup'!$B$2:$B$233,MATCH(A48,'Region Lookup'!$A$2:$A$233,0)),"Not found")</f>
        <v>South Asia</v>
      </c>
      <c r="C48" s="10" t="n">
        <v>2015</v>
      </c>
      <c r="D48" s="11" t="n">
        <v>727.8850098</v>
      </c>
      <c r="E48" s="12" t="n">
        <v>38.6780014</v>
      </c>
      <c r="F48" s="12" t="n">
        <v>96.22142259</v>
      </c>
      <c r="G48" s="12" t="n">
        <v>2.496596292</v>
      </c>
      <c r="H48" s="12" t="n">
        <v>0.2961873751</v>
      </c>
      <c r="I48" s="12" t="n">
        <v>0.9857937377</v>
      </c>
      <c r="J48" s="12" t="n">
        <v>95.16436295</v>
      </c>
      <c r="K48" s="12" t="n">
        <v>3.215858941</v>
      </c>
      <c r="L48" s="12" t="n">
        <v>0.1935987005</v>
      </c>
      <c r="M48" s="12" t="n">
        <v>1.426179411</v>
      </c>
      <c r="N48" s="12" t="n">
        <v>97.89733678</v>
      </c>
      <c r="O48" s="12" t="n">
        <v>1.356242032</v>
      </c>
      <c r="P48" s="12" t="n">
        <v>0.4588364885</v>
      </c>
      <c r="Q48" s="12" t="n">
        <v>0.2875847035</v>
      </c>
      <c r="R48" s="13" t="n">
        <f aca="false">IF($A48=$A49,$C49-$C48,"")</f>
        <v>5</v>
      </c>
      <c r="S48" s="14" t="n">
        <f aca="false">IF(AND($A48=$A49,ISNUMBER(F48),ISNUMBER(F49)),(F49-F48)/($C49-$C48),"")</f>
        <v>0.218360007999999</v>
      </c>
      <c r="T48" s="14" t="n">
        <f aca="false">IF(AND($A48=$A49,ISNUMBER(J48),ISNUMBER(J49)),(J49-J48)/($C49-$C48),"")</f>
        <v>0.313366139999999</v>
      </c>
      <c r="U48" s="14" t="n">
        <f aca="false">IF(AND($A48=$A49,ISNUMBER(N48),ISNUMBER(N49)),(N49-N48)/($C49-$C48),"")</f>
        <v>0.0418583420000005</v>
      </c>
      <c r="V48" s="13" t="n">
        <f aca="false">IF(ISNUMBER(F48),ROUND(F48,0),"")</f>
        <v>96</v>
      </c>
      <c r="W48" s="13" t="n">
        <f aca="false">IF(ISNUMBER(J48),ROUND(J48,0),"")</f>
        <v>95</v>
      </c>
      <c r="X48" s="13" t="n">
        <f aca="false">IF(ISNUMBER(N48),ROUND(N48,0),"")</f>
        <v>98</v>
      </c>
      <c r="Y48" s="10" t="str">
        <f aca="false">IF(AND($A48=$A49,V48=100,V49=100),"full access","")</f>
        <v/>
      </c>
      <c r="Z48" s="10" t="str">
        <f aca="false">IF(AND($A48=$A49,W48=100,W49=100),"full access","")</f>
        <v/>
      </c>
      <c r="AA48" s="10" t="str">
        <f aca="false">IF(AND($A48=$A49,X48=100,X49=100),"full access","")</f>
        <v/>
      </c>
      <c r="AB48" s="14" t="n">
        <f aca="false">IF(AND(ISNUMBER(T48),ISNUMBER(U48)),T48-U48,"")</f>
        <v>0.271507797999999</v>
      </c>
    </row>
    <row r="49" customFormat="false" ht="15" hidden="false" customHeight="false" outlineLevel="0" collapsed="false">
      <c r="A49" s="10" t="s">
        <v>106</v>
      </c>
      <c r="B49" s="10" t="str">
        <f aca="false">IFERROR(INDEX('Region Lookup'!$B$2:$B$233,MATCH(A49,'Region Lookup'!$A$2:$A$233,0)),"Not found")</f>
        <v>South Asia</v>
      </c>
      <c r="C49" s="10" t="n">
        <v>2020</v>
      </c>
      <c r="D49" s="11" t="n">
        <v>771.6119995</v>
      </c>
      <c r="E49" s="12" t="n">
        <v>42.31599808</v>
      </c>
      <c r="F49" s="12" t="n">
        <v>97.31322263</v>
      </c>
      <c r="G49" s="12" t="n">
        <v>2.460712607</v>
      </c>
      <c r="H49" s="12" t="n">
        <v>0.1764242183</v>
      </c>
      <c r="I49" s="12" t="n">
        <v>0.04964054142</v>
      </c>
      <c r="J49" s="12" t="n">
        <v>96.73119365</v>
      </c>
      <c r="K49" s="12" t="n">
        <v>3.268806351</v>
      </c>
      <c r="L49" s="12" t="n">
        <v>0</v>
      </c>
      <c r="M49" s="12" t="n">
        <v>0</v>
      </c>
      <c r="N49" s="12" t="n">
        <v>98.10662849</v>
      </c>
      <c r="O49" s="12" t="n">
        <v>1.3591415</v>
      </c>
      <c r="P49" s="12" t="n">
        <v>0.4169208475</v>
      </c>
      <c r="Q49" s="12" t="n">
        <v>0.1173091586</v>
      </c>
      <c r="R49" s="13" t="str">
        <f aca="false">IF($A49=$A50,$C50-$C49,"")</f>
        <v/>
      </c>
      <c r="S49" s="14" t="str">
        <f aca="false">IF(AND($A49=$A50,ISNUMBER(F49),ISNUMBER(F50)),(F50-F49)/($C50-$C49),"")</f>
        <v/>
      </c>
      <c r="T49" s="14" t="str">
        <f aca="false">IF(AND($A49=$A50,ISNUMBER(J49),ISNUMBER(J50)),(J50-J49)/($C50-$C49),"")</f>
        <v/>
      </c>
      <c r="U49" s="14" t="str">
        <f aca="false">IF(AND($A49=$A50,ISNUMBER(N49),ISNUMBER(N50)),(N50-N49)/($C50-$C49),"")</f>
        <v/>
      </c>
      <c r="V49" s="13" t="n">
        <f aca="false">IF(ISNUMBER(F49),ROUND(F49,0),"")</f>
        <v>97</v>
      </c>
      <c r="W49" s="13" t="n">
        <f aca="false">IF(ISNUMBER(J49),ROUND(J49,0),"")</f>
        <v>97</v>
      </c>
      <c r="X49" s="13" t="n">
        <f aca="false">IF(ISNUMBER(N49),ROUND(N49,0),"")</f>
        <v>98</v>
      </c>
      <c r="Y49" s="10" t="str">
        <f aca="false">IF(AND($A49=$A50,V49=100,V50=100),"full access","")</f>
        <v/>
      </c>
      <c r="Z49" s="10" t="str">
        <f aca="false">IF(AND($A49=$A50,W49=100,W50=100),"full access","")</f>
        <v/>
      </c>
      <c r="AA49" s="10" t="str">
        <f aca="false">IF(AND($A49=$A50,X49=100,X50=100),"full access","")</f>
        <v/>
      </c>
      <c r="AB49" s="14" t="str">
        <f aca="false">IF(AND(ISNUMBER(T49),ISNUMBER(U49)),T49-U49,"")</f>
        <v/>
      </c>
    </row>
    <row r="50" customFormat="false" ht="15" hidden="false" customHeight="false" outlineLevel="0" collapsed="false">
      <c r="A50" s="4" t="s">
        <v>107</v>
      </c>
      <c r="B50" s="4" t="str">
        <f aca="false">IFERROR(INDEX('Region Lookup'!$B$2:$B$233,MATCH(A50,'Region Lookup'!$A$2:$A$233,0)),"Not found")</f>
        <v>Latin America &amp; Caribbean</v>
      </c>
      <c r="C50" s="4" t="n">
        <v>2015</v>
      </c>
      <c r="D50" s="6" t="n">
        <v>10869.73242</v>
      </c>
      <c r="E50" s="7" t="n">
        <v>68.39299774</v>
      </c>
      <c r="F50" s="7" t="n">
        <v>90.46214101</v>
      </c>
      <c r="G50" s="7" t="n">
        <v>0.1728983981</v>
      </c>
      <c r="H50" s="7" t="n">
        <v>2.832457169</v>
      </c>
      <c r="I50" s="7" t="n">
        <v>6.532503425</v>
      </c>
      <c r="J50" s="7" t="n">
        <v>73.7401802</v>
      </c>
      <c r="K50" s="7" t="n">
        <v>0.3399687838</v>
      </c>
      <c r="L50" s="7" t="n">
        <v>5.911800536</v>
      </c>
      <c r="M50" s="7" t="n">
        <v>20.00805048</v>
      </c>
      <c r="N50" s="7" t="n">
        <v>98.18999708</v>
      </c>
      <c r="O50" s="7" t="n">
        <v>0.0956888341</v>
      </c>
      <c r="P50" s="7" t="n">
        <v>1.40937247</v>
      </c>
      <c r="Q50" s="7" t="n">
        <v>0.304941615</v>
      </c>
      <c r="R50" s="8" t="n">
        <f aca="false">IF($A50=$A51,$C51-$C50,"")</f>
        <v>5</v>
      </c>
      <c r="S50" s="9" t="n">
        <f aca="false">IF(AND($A50=$A51,ISNUMBER(F50),ISNUMBER(F51)),(F51-F50)/($C51-$C50),"")</f>
        <v>0.585586124</v>
      </c>
      <c r="T50" s="9" t="n">
        <f aca="false">IF(AND($A50=$A51,ISNUMBER(J50),ISNUMBER(J51)),(J51-J50)/($C51-$C50),"")</f>
        <v>1.239292526</v>
      </c>
      <c r="U50" s="9" t="n">
        <f aca="false">IF(AND($A50=$A51,ISNUMBER(N50),ISNUMBER(N51)),(N51-N50)/($C51-$C50),"")</f>
        <v>0.186424248</v>
      </c>
      <c r="V50" s="8" t="n">
        <f aca="false">IF(ISNUMBER(F50),ROUND(F50,0),"")</f>
        <v>90</v>
      </c>
      <c r="W50" s="8" t="n">
        <f aca="false">IF(ISNUMBER(J50),ROUND(J50,0),"")</f>
        <v>74</v>
      </c>
      <c r="X50" s="8" t="n">
        <f aca="false">IF(ISNUMBER(N50),ROUND(N50,0),"")</f>
        <v>98</v>
      </c>
      <c r="Y50" s="4" t="str">
        <f aca="false">IF(AND($A50=$A51,V50=100,V51=100),"full access","")</f>
        <v/>
      </c>
      <c r="Z50" s="4" t="str">
        <f aca="false">IF(AND($A50=$A51,W50=100,W51=100),"full access","")</f>
        <v/>
      </c>
      <c r="AA50" s="4" t="str">
        <f aca="false">IF(AND($A50=$A51,X50=100,X51=100),"full access","")</f>
        <v/>
      </c>
      <c r="AB50" s="9" t="n">
        <f aca="false">IF(AND(ISNUMBER(T50),ISNUMBER(U50)),T50-U50,"")</f>
        <v>1.052868278</v>
      </c>
    </row>
    <row r="51" customFormat="false" ht="15" hidden="false" customHeight="false" outlineLevel="0" collapsed="false">
      <c r="A51" s="4" t="s">
        <v>107</v>
      </c>
      <c r="B51" s="4" t="str">
        <f aca="false">IFERROR(INDEX('Region Lookup'!$B$2:$B$233,MATCH(A51,'Region Lookup'!$A$2:$A$233,0)),"Not found")</f>
        <v>Latin America &amp; Caribbean</v>
      </c>
      <c r="C51" s="4" t="n">
        <v>2020</v>
      </c>
      <c r="D51" s="6" t="n">
        <v>11673.0293</v>
      </c>
      <c r="E51" s="7" t="n">
        <v>70.1230011</v>
      </c>
      <c r="F51" s="7" t="n">
        <v>93.39007163</v>
      </c>
      <c r="G51" s="7" t="n">
        <v>0.1365905296</v>
      </c>
      <c r="H51" s="7" t="n">
        <v>1.575010843</v>
      </c>
      <c r="I51" s="7" t="n">
        <v>4.898326997</v>
      </c>
      <c r="J51" s="7" t="n">
        <v>79.93664283</v>
      </c>
      <c r="K51" s="7" t="n">
        <v>0.2447364082</v>
      </c>
      <c r="L51" s="7" t="n">
        <v>3.954133693</v>
      </c>
      <c r="M51" s="7" t="n">
        <v>15.86448707</v>
      </c>
      <c r="N51" s="7" t="n">
        <v>99.12211832</v>
      </c>
      <c r="O51" s="7" t="n">
        <v>0.09051328947</v>
      </c>
      <c r="P51" s="7" t="n">
        <v>0.5613453808</v>
      </c>
      <c r="Q51" s="7" t="n">
        <v>0.2260230112</v>
      </c>
      <c r="R51" s="8" t="str">
        <f aca="false">IF($A51=$A52,$C52-$C51,"")</f>
        <v/>
      </c>
      <c r="S51" s="9" t="str">
        <f aca="false">IF(AND($A51=$A52,ISNUMBER(F51),ISNUMBER(F52)),(F52-F51)/($C52-$C51),"")</f>
        <v/>
      </c>
      <c r="T51" s="9" t="str">
        <f aca="false">IF(AND($A51=$A52,ISNUMBER(J51),ISNUMBER(J52)),(J52-J51)/($C52-$C51),"")</f>
        <v/>
      </c>
      <c r="U51" s="9" t="str">
        <f aca="false">IF(AND($A51=$A52,ISNUMBER(N51),ISNUMBER(N52)),(N52-N51)/($C52-$C51),"")</f>
        <v/>
      </c>
      <c r="V51" s="8" t="n">
        <f aca="false">IF(ISNUMBER(F51),ROUND(F51,0),"")</f>
        <v>93</v>
      </c>
      <c r="W51" s="8" t="n">
        <f aca="false">IF(ISNUMBER(J51),ROUND(J51,0),"")</f>
        <v>80</v>
      </c>
      <c r="X51" s="8" t="n">
        <f aca="false">IF(ISNUMBER(N51),ROUND(N51,0),"")</f>
        <v>99</v>
      </c>
      <c r="Y51" s="4" t="str">
        <f aca="false">IF(AND($A51=$A52,V51=100,V52=100),"full access","")</f>
        <v/>
      </c>
      <c r="Z51" s="4" t="str">
        <f aca="false">IF(AND($A51=$A52,W51=100,W52=100),"full access","")</f>
        <v/>
      </c>
      <c r="AA51" s="4" t="str">
        <f aca="false">IF(AND($A51=$A52,X51=100,X52=100),"full access","")</f>
        <v/>
      </c>
      <c r="AB51" s="9" t="str">
        <f aca="false">IF(AND(ISNUMBER(T51),ISNUMBER(U51)),T51-U51,"")</f>
        <v/>
      </c>
    </row>
    <row r="52" customFormat="false" ht="15" hidden="false" customHeight="false" outlineLevel="0" collapsed="false">
      <c r="A52" s="10" t="s">
        <v>108</v>
      </c>
      <c r="B52" s="10" t="str">
        <f aca="false">IFERROR(INDEX('Region Lookup'!$B$2:$B$233,MATCH(A52,'Region Lookup'!$A$2:$A$233,0)),"Not found")</f>
        <v>Europe &amp; Central Asia</v>
      </c>
      <c r="C52" s="10" t="n">
        <v>2015</v>
      </c>
      <c r="D52" s="11" t="n">
        <v>3429.362061</v>
      </c>
      <c r="E52" s="12" t="n">
        <v>47.17299652</v>
      </c>
      <c r="F52" s="12" t="n">
        <v>96.15984418</v>
      </c>
      <c r="G52" s="12" t="n">
        <v>3.780069975</v>
      </c>
      <c r="H52" s="12" t="n">
        <v>0.06008584857</v>
      </c>
      <c r="I52" s="12" t="n">
        <v>0</v>
      </c>
      <c r="J52" s="12" t="n">
        <v>97.33333333</v>
      </c>
      <c r="K52" s="12" t="n">
        <v>2.666666667</v>
      </c>
      <c r="L52" s="12" t="n">
        <v>0</v>
      </c>
      <c r="M52" s="12" t="n">
        <v>0</v>
      </c>
      <c r="N52" s="12" t="n">
        <v>94.8457044</v>
      </c>
      <c r="O52" s="12" t="n">
        <v>5.026922206</v>
      </c>
      <c r="P52" s="12" t="n">
        <v>0.1273733928</v>
      </c>
      <c r="Q52" s="12" t="n">
        <v>0</v>
      </c>
      <c r="R52" s="13" t="n">
        <f aca="false">IF($A52=$A53,$C53-$C52,"")</f>
        <v>5</v>
      </c>
      <c r="S52" s="14" t="n">
        <f aca="false">IF(AND($A52=$A53,ISNUMBER(F52),ISNUMBER(F53)),(F53-F52)/($C53-$C52),"")</f>
        <v>-0.00918931199999804</v>
      </c>
      <c r="T52" s="14" t="n">
        <f aca="false">IF(AND($A52=$A53,ISNUMBER(J52),ISNUMBER(J53)),(J53-J52)/($C53-$C52),"")</f>
        <v>0</v>
      </c>
      <c r="U52" s="14" t="n">
        <f aca="false">IF(AND($A52=$A53,ISNUMBER(N52),ISNUMBER(N53)),(N53-N52)/($C53-$C52),"")</f>
        <v>0</v>
      </c>
      <c r="V52" s="13" t="n">
        <f aca="false">IF(ISNUMBER(F52),ROUND(F52,0),"")</f>
        <v>96</v>
      </c>
      <c r="W52" s="13" t="n">
        <f aca="false">IF(ISNUMBER(J52),ROUND(J52,0),"")</f>
        <v>97</v>
      </c>
      <c r="X52" s="13" t="n">
        <f aca="false">IF(ISNUMBER(N52),ROUND(N52,0),"")</f>
        <v>95</v>
      </c>
      <c r="Y52" s="10" t="str">
        <f aca="false">IF(AND($A52=$A53,V52=100,V53=100),"full access","")</f>
        <v/>
      </c>
      <c r="Z52" s="10" t="str">
        <f aca="false">IF(AND($A52=$A53,W52=100,W53=100),"full access","")</f>
        <v/>
      </c>
      <c r="AA52" s="10" t="str">
        <f aca="false">IF(AND($A52=$A53,X52=100,X53=100),"full access","")</f>
        <v/>
      </c>
      <c r="AB52" s="14" t="n">
        <f aca="false">IF(AND(ISNUMBER(T52),ISNUMBER(U52)),T52-U52,"")</f>
        <v>0</v>
      </c>
    </row>
    <row r="53" customFormat="false" ht="15" hidden="false" customHeight="false" outlineLevel="0" collapsed="false">
      <c r="A53" s="10" t="s">
        <v>108</v>
      </c>
      <c r="B53" s="10" t="str">
        <f aca="false">IFERROR(INDEX('Region Lookup'!$B$2:$B$233,MATCH(A53,'Region Lookup'!$A$2:$A$233,0)),"Not found")</f>
        <v>Europe &amp; Central Asia</v>
      </c>
      <c r="C53" s="10" t="n">
        <v>2020</v>
      </c>
      <c r="D53" s="11" t="n">
        <v>3280.814941</v>
      </c>
      <c r="E53" s="12" t="n">
        <v>49.02000046</v>
      </c>
      <c r="F53" s="12" t="n">
        <v>96.11389762</v>
      </c>
      <c r="G53" s="12" t="n">
        <v>3.823663938</v>
      </c>
      <c r="H53" s="12" t="n">
        <v>0.06243843752</v>
      </c>
      <c r="I53" s="12" t="n">
        <v>0</v>
      </c>
      <c r="J53" s="12" t="n">
        <v>97.33333333</v>
      </c>
      <c r="K53" s="12" t="n">
        <v>2.666666667</v>
      </c>
      <c r="L53" s="12" t="n">
        <v>0</v>
      </c>
      <c r="M53" s="12" t="n">
        <v>0</v>
      </c>
      <c r="N53" s="12" t="n">
        <v>94.8457044</v>
      </c>
      <c r="O53" s="12" t="n">
        <v>5.026922206</v>
      </c>
      <c r="P53" s="12" t="n">
        <v>0.1273733928</v>
      </c>
      <c r="Q53" s="12" t="n">
        <v>0</v>
      </c>
      <c r="R53" s="13" t="str">
        <f aca="false">IF($A53=$A54,$C54-$C53,"")</f>
        <v/>
      </c>
      <c r="S53" s="14" t="str">
        <f aca="false">IF(AND($A53=$A54,ISNUMBER(F53),ISNUMBER(F54)),(F54-F53)/($C54-$C53),"")</f>
        <v/>
      </c>
      <c r="T53" s="14" t="str">
        <f aca="false">IF(AND($A53=$A54,ISNUMBER(J53),ISNUMBER(J54)),(J54-J53)/($C54-$C53),"")</f>
        <v/>
      </c>
      <c r="U53" s="14" t="str">
        <f aca="false">IF(AND($A53=$A54,ISNUMBER(N53),ISNUMBER(N54)),(N54-N53)/($C54-$C53),"")</f>
        <v/>
      </c>
      <c r="V53" s="13" t="n">
        <f aca="false">IF(ISNUMBER(F53),ROUND(F53,0),"")</f>
        <v>96</v>
      </c>
      <c r="W53" s="13" t="n">
        <f aca="false">IF(ISNUMBER(J53),ROUND(J53,0),"")</f>
        <v>97</v>
      </c>
      <c r="X53" s="13" t="n">
        <f aca="false">IF(ISNUMBER(N53),ROUND(N53,0),"")</f>
        <v>95</v>
      </c>
      <c r="Y53" s="10" t="str">
        <f aca="false">IF(AND($A53=$A54,V53=100,V54=100),"full access","")</f>
        <v/>
      </c>
      <c r="Z53" s="10" t="str">
        <f aca="false">IF(AND($A53=$A54,W53=100,W54=100),"full access","")</f>
        <v/>
      </c>
      <c r="AA53" s="10" t="str">
        <f aca="false">IF(AND($A53=$A54,X53=100,X54=100),"full access","")</f>
        <v/>
      </c>
      <c r="AB53" s="14" t="str">
        <f aca="false">IF(AND(ISNUMBER(T53),ISNUMBER(U53)),T53-U53,"")</f>
        <v/>
      </c>
    </row>
    <row r="54" customFormat="false" ht="15" hidden="false" customHeight="false" outlineLevel="0" collapsed="false">
      <c r="A54" s="4" t="s">
        <v>109</v>
      </c>
      <c r="B54" s="4" t="str">
        <f aca="false">IFERROR(INDEX('Region Lookup'!$B$2:$B$233,MATCH(A54,'Region Lookup'!$A$2:$A$233,0)),"Not found")</f>
        <v>Sub-Saharan Africa</v>
      </c>
      <c r="C54" s="4" t="n">
        <v>2015</v>
      </c>
      <c r="D54" s="6" t="n">
        <v>2120.716064</v>
      </c>
      <c r="E54" s="7" t="n">
        <v>67.15499878</v>
      </c>
      <c r="F54" s="7" t="n">
        <v>88.44628953</v>
      </c>
      <c r="G54" s="7" t="n">
        <v>8.41061416</v>
      </c>
      <c r="H54" s="7" t="n">
        <v>1.578349601</v>
      </c>
      <c r="I54" s="7" t="n">
        <v>1.564746708</v>
      </c>
      <c r="J54" s="7" t="n">
        <v>71.89253383</v>
      </c>
      <c r="K54" s="7" t="n">
        <v>21.78932755</v>
      </c>
      <c r="L54" s="7" t="n">
        <v>1.854197906</v>
      </c>
      <c r="M54" s="7" t="n">
        <v>4.463940709</v>
      </c>
      <c r="N54" s="7" t="n">
        <v>96.54260258</v>
      </c>
      <c r="O54" s="7" t="n">
        <v>1.867186166</v>
      </c>
      <c r="P54" s="7" t="n">
        <v>1.443438497</v>
      </c>
      <c r="Q54" s="7" t="n">
        <v>0.1467727616</v>
      </c>
      <c r="R54" s="8" t="n">
        <f aca="false">IF($A54=$A55,$C55-$C54,"")</f>
        <v>5</v>
      </c>
      <c r="S54" s="9" t="n">
        <f aca="false">IF(AND($A54=$A55,ISNUMBER(F54),ISNUMBER(F55)),(F55-F54)/($C55-$C54),"")</f>
        <v>0.753454708000001</v>
      </c>
      <c r="T54" s="9" t="n">
        <f aca="false">IF(AND($A54=$A55,ISNUMBER(J54),ISNUMBER(J55)),(J55-J54)/($C55-$C54),"")</f>
        <v>1.430238006</v>
      </c>
      <c r="U54" s="9" t="n">
        <f aca="false">IF(AND($A54=$A55,ISNUMBER(N54),ISNUMBER(N55)),(N55-N54)/($C55-$C54),"")</f>
        <v>0.216475600000001</v>
      </c>
      <c r="V54" s="8" t="n">
        <f aca="false">IF(ISNUMBER(F54),ROUND(F54,0),"")</f>
        <v>88</v>
      </c>
      <c r="W54" s="8" t="n">
        <f aca="false">IF(ISNUMBER(J54),ROUND(J54,0),"")</f>
        <v>72</v>
      </c>
      <c r="X54" s="8" t="n">
        <f aca="false">IF(ISNUMBER(N54),ROUND(N54,0),"")</f>
        <v>97</v>
      </c>
      <c r="Y54" s="4" t="str">
        <f aca="false">IF(AND($A54=$A55,V54=100,V55=100),"full access","")</f>
        <v/>
      </c>
      <c r="Z54" s="4" t="str">
        <f aca="false">IF(AND($A54=$A55,W54=100,W55=100),"full access","")</f>
        <v/>
      </c>
      <c r="AA54" s="4" t="str">
        <f aca="false">IF(AND($A54=$A55,X54=100,X55=100),"full access","")</f>
        <v/>
      </c>
      <c r="AB54" s="9" t="n">
        <f aca="false">IF(AND(ISNUMBER(T54),ISNUMBER(U54)),T54-U54,"")</f>
        <v>1.213762406</v>
      </c>
    </row>
    <row r="55" customFormat="false" ht="15" hidden="false" customHeight="false" outlineLevel="0" collapsed="false">
      <c r="A55" s="4" t="s">
        <v>109</v>
      </c>
      <c r="B55" s="4" t="str">
        <f aca="false">IFERROR(INDEX('Region Lookup'!$B$2:$B$233,MATCH(A55,'Region Lookup'!$A$2:$A$233,0)),"Not found")</f>
        <v>Sub-Saharan Africa</v>
      </c>
      <c r="C55" s="4" t="n">
        <v>2020</v>
      </c>
      <c r="D55" s="6" t="n">
        <v>2351.625</v>
      </c>
      <c r="E55" s="7" t="n">
        <v>70.8769989</v>
      </c>
      <c r="F55" s="7" t="n">
        <v>92.21356307</v>
      </c>
      <c r="G55" s="7" t="n">
        <v>4.72303897</v>
      </c>
      <c r="H55" s="7" t="n">
        <v>1.732526476</v>
      </c>
      <c r="I55" s="7" t="n">
        <v>1.330871481</v>
      </c>
      <c r="J55" s="7" t="n">
        <v>79.04372386</v>
      </c>
      <c r="K55" s="7" t="n">
        <v>15.15494718</v>
      </c>
      <c r="L55" s="7" t="n">
        <v>1.596119156</v>
      </c>
      <c r="M55" s="7" t="n">
        <v>4.20520981</v>
      </c>
      <c r="N55" s="7" t="n">
        <v>97.62498058</v>
      </c>
      <c r="O55" s="7" t="n">
        <v>0.4366200322</v>
      </c>
      <c r="P55" s="7" t="n">
        <v>1.788579159</v>
      </c>
      <c r="Q55" s="7" t="n">
        <v>0.1498202281</v>
      </c>
      <c r="R55" s="8" t="str">
        <f aca="false">IF($A55=$A56,$C56-$C55,"")</f>
        <v/>
      </c>
      <c r="S55" s="9" t="str">
        <f aca="false">IF(AND($A55=$A56,ISNUMBER(F55),ISNUMBER(F56)),(F56-F55)/($C56-$C55),"")</f>
        <v/>
      </c>
      <c r="T55" s="9" t="str">
        <f aca="false">IF(AND($A55=$A56,ISNUMBER(J55),ISNUMBER(J56)),(J56-J55)/($C56-$C55),"")</f>
        <v/>
      </c>
      <c r="U55" s="9" t="str">
        <f aca="false">IF(AND($A55=$A56,ISNUMBER(N55),ISNUMBER(N56)),(N56-N55)/($C56-$C55),"")</f>
        <v/>
      </c>
      <c r="V55" s="8" t="n">
        <f aca="false">IF(ISNUMBER(F55),ROUND(F55,0),"")</f>
        <v>92</v>
      </c>
      <c r="W55" s="8" t="n">
        <f aca="false">IF(ISNUMBER(J55),ROUND(J55,0),"")</f>
        <v>79</v>
      </c>
      <c r="X55" s="8" t="n">
        <f aca="false">IF(ISNUMBER(N55),ROUND(N55,0),"")</f>
        <v>98</v>
      </c>
      <c r="Y55" s="4" t="str">
        <f aca="false">IF(AND($A55=$A56,V55=100,V56=100),"full access","")</f>
        <v/>
      </c>
      <c r="Z55" s="4" t="str">
        <f aca="false">IF(AND($A55=$A56,W55=100,W56=100),"full access","")</f>
        <v/>
      </c>
      <c r="AA55" s="4" t="str">
        <f aca="false">IF(AND($A55=$A56,X55=100,X56=100),"full access","")</f>
        <v/>
      </c>
      <c r="AB55" s="9" t="str">
        <f aca="false">IF(AND(ISNUMBER(T55),ISNUMBER(U55)),T55-U55,"")</f>
        <v/>
      </c>
    </row>
    <row r="56" customFormat="false" ht="15" hidden="false" customHeight="false" outlineLevel="0" collapsed="false">
      <c r="A56" s="10" t="s">
        <v>110</v>
      </c>
      <c r="B56" s="10" t="str">
        <f aca="false">IFERROR(INDEX('Region Lookup'!$B$2:$B$233,MATCH(A56,'Region Lookup'!$A$2:$A$233,0)),"Not found")</f>
        <v>Latin America &amp; Caribbean</v>
      </c>
      <c r="C56" s="10" t="n">
        <v>2015</v>
      </c>
      <c r="D56" s="11" t="n">
        <v>204471.7656</v>
      </c>
      <c r="E56" s="12" t="n">
        <v>85.77000427</v>
      </c>
      <c r="F56" s="12" t="n">
        <v>97.80356759</v>
      </c>
      <c r="G56" s="12" t="n">
        <v>0.5795000229</v>
      </c>
      <c r="H56" s="12" t="n">
        <v>0.4749657091</v>
      </c>
      <c r="I56" s="12" t="n">
        <v>1.141966676</v>
      </c>
      <c r="J56" s="12" t="n">
        <v>88.75602818</v>
      </c>
      <c r="K56" s="12" t="n">
        <v>2.853773578</v>
      </c>
      <c r="L56" s="12" t="n">
        <v>0.3651342381</v>
      </c>
      <c r="M56" s="12" t="n">
        <v>8.025064008</v>
      </c>
      <c r="N56" s="12" t="n">
        <v>99.30463102</v>
      </c>
      <c r="O56" s="12" t="n">
        <v>0.2021779344</v>
      </c>
      <c r="P56" s="12" t="n">
        <v>0.4931910454</v>
      </c>
      <c r="Q56" s="12" t="n">
        <v>0</v>
      </c>
      <c r="R56" s="13" t="n">
        <f aca="false">IF($A56=$A57,$C57-$C56,"")</f>
        <v>5</v>
      </c>
      <c r="S56" s="14" t="n">
        <f aca="false">IF(AND($A56=$A57,ISNUMBER(F56),ISNUMBER(F57)),(F57-F56)/($C57-$C56),"")</f>
        <v>0.303457080000001</v>
      </c>
      <c r="T56" s="14" t="n">
        <f aca="false">IF(AND($A56=$A57,ISNUMBER(J56),ISNUMBER(J57)),(J57-J56)/($C57-$C56),"")</f>
        <v>1.43784627</v>
      </c>
      <c r="U56" s="14" t="n">
        <f aca="false">IF(AND($A56=$A57,ISNUMBER(N56),ISNUMBER(N57)),(N57-N56)/($C57-$C56),"")</f>
        <v>0.103474058</v>
      </c>
      <c r="V56" s="13" t="n">
        <f aca="false">IF(ISNUMBER(F56),ROUND(F56,0),"")</f>
        <v>98</v>
      </c>
      <c r="W56" s="13" t="n">
        <f aca="false">IF(ISNUMBER(J56),ROUND(J56,0),"")</f>
        <v>89</v>
      </c>
      <c r="X56" s="13" t="n">
        <f aca="false">IF(ISNUMBER(N56),ROUND(N56,0),"")</f>
        <v>99</v>
      </c>
      <c r="Y56" s="10" t="str">
        <f aca="false">IF(AND($A56=$A57,V56=100,V57=100),"full access","")</f>
        <v/>
      </c>
      <c r="Z56" s="10" t="str">
        <f aca="false">IF(AND($A56=$A57,W56=100,W57=100),"full access","")</f>
        <v/>
      </c>
      <c r="AA56" s="10" t="str">
        <f aca="false">IF(AND($A56=$A57,X56=100,X57=100),"full access","")</f>
        <v/>
      </c>
      <c r="AB56" s="14" t="n">
        <f aca="false">IF(AND(ISNUMBER(T56),ISNUMBER(U56)),T56-U56,"")</f>
        <v>1.334372212</v>
      </c>
    </row>
    <row r="57" customFormat="false" ht="15" hidden="false" customHeight="false" outlineLevel="0" collapsed="false">
      <c r="A57" s="10" t="s">
        <v>110</v>
      </c>
      <c r="B57" s="10" t="str">
        <f aca="false">IFERROR(INDEX('Region Lookup'!$B$2:$B$233,MATCH(A57,'Region Lookup'!$A$2:$A$233,0)),"Not found")</f>
        <v>Latin America &amp; Caribbean</v>
      </c>
      <c r="C57" s="10" t="n">
        <v>2020</v>
      </c>
      <c r="D57" s="11" t="n">
        <v>212559.4063</v>
      </c>
      <c r="E57" s="12" t="n">
        <v>87.07299805</v>
      </c>
      <c r="F57" s="12" t="n">
        <v>99.32085299</v>
      </c>
      <c r="G57" s="12" t="n">
        <v>0.1265490039</v>
      </c>
      <c r="H57" s="12" t="n">
        <v>0.5525980099</v>
      </c>
      <c r="I57" s="12"/>
      <c r="J57" s="12" t="n">
        <v>95.94525953</v>
      </c>
      <c r="K57" s="12" t="n">
        <v>0.9789509154</v>
      </c>
      <c r="L57" s="12" t="n">
        <v>3.075789551</v>
      </c>
      <c r="M57" s="12"/>
      <c r="N57" s="12" t="n">
        <v>99.82200131</v>
      </c>
      <c r="O57" s="12" t="n">
        <v>0</v>
      </c>
      <c r="P57" s="12" t="n">
        <v>0.1779986949</v>
      </c>
      <c r="Q57" s="12" t="n">
        <v>0</v>
      </c>
      <c r="R57" s="13" t="str">
        <f aca="false">IF($A57=$A58,$C58-$C57,"")</f>
        <v/>
      </c>
      <c r="S57" s="14" t="str">
        <f aca="false">IF(AND($A57=$A58,ISNUMBER(F57),ISNUMBER(F58)),(F58-F57)/($C58-$C57),"")</f>
        <v/>
      </c>
      <c r="T57" s="14" t="str">
        <f aca="false">IF(AND($A57=$A58,ISNUMBER(J57),ISNUMBER(J58)),(J58-J57)/($C58-$C57),"")</f>
        <v/>
      </c>
      <c r="U57" s="14" t="str">
        <f aca="false">IF(AND($A57=$A58,ISNUMBER(N57),ISNUMBER(N58)),(N58-N57)/($C58-$C57),"")</f>
        <v/>
      </c>
      <c r="V57" s="13" t="n">
        <f aca="false">IF(ISNUMBER(F57),ROUND(F57,0),"")</f>
        <v>99</v>
      </c>
      <c r="W57" s="13" t="n">
        <f aca="false">IF(ISNUMBER(J57),ROUND(J57,0),"")</f>
        <v>96</v>
      </c>
      <c r="X57" s="13" t="n">
        <f aca="false">IF(ISNUMBER(N57),ROUND(N57,0),"")</f>
        <v>100</v>
      </c>
      <c r="Y57" s="10" t="str">
        <f aca="false">IF(AND($A57=$A58,V57=100,V58=100),"full access","")</f>
        <v/>
      </c>
      <c r="Z57" s="10" t="str">
        <f aca="false">IF(AND($A57=$A58,W57=100,W58=100),"full access","")</f>
        <v/>
      </c>
      <c r="AA57" s="10" t="str">
        <f aca="false">IF(AND($A57=$A58,X57=100,X58=100),"full access","")</f>
        <v/>
      </c>
      <c r="AB57" s="14" t="str">
        <f aca="false">IF(AND(ISNUMBER(T57),ISNUMBER(U57)),T57-U57,"")</f>
        <v/>
      </c>
    </row>
    <row r="58" customFormat="false" ht="15" hidden="false" customHeight="false" outlineLevel="0" collapsed="false">
      <c r="A58" s="4" t="s">
        <v>111</v>
      </c>
      <c r="B58" s="4" t="str">
        <f aca="false">IFERROR(INDEX('Region Lookup'!$B$2:$B$233,MATCH(A58,'Region Lookup'!$A$2:$A$233,0)),"Not found")</f>
        <v>Latin America &amp; Caribbean</v>
      </c>
      <c r="C58" s="4" t="n">
        <v>2015</v>
      </c>
      <c r="D58" s="6" t="n">
        <v>29.14800072</v>
      </c>
      <c r="E58" s="7" t="n">
        <v>46.58300018</v>
      </c>
      <c r="F58" s="7" t="n">
        <v>99.86438356</v>
      </c>
      <c r="G58" s="7" t="n">
        <v>0</v>
      </c>
      <c r="H58" s="7" t="n">
        <v>0.1356164384</v>
      </c>
      <c r="I58" s="7" t="n">
        <v>0</v>
      </c>
      <c r="J58" s="7"/>
      <c r="K58" s="7"/>
      <c r="L58" s="7"/>
      <c r="M58" s="7"/>
      <c r="N58" s="7"/>
      <c r="O58" s="7"/>
      <c r="P58" s="7"/>
      <c r="Q58" s="7"/>
      <c r="R58" s="8" t="n">
        <f aca="false">IF($A58=$A59,$C59-$C58,"")</f>
        <v>5</v>
      </c>
      <c r="S58" s="9" t="n">
        <f aca="false">IF(AND($A58=$A59,ISNUMBER(F58),ISNUMBER(F59)),(F59-F58)/($C59-$C58),"")</f>
        <v>0</v>
      </c>
      <c r="T58" s="9" t="str">
        <f aca="false">IF(AND($A58=$A59,ISNUMBER(J58),ISNUMBER(J59)),(J59-J58)/($C59-$C58),"")</f>
        <v/>
      </c>
      <c r="U58" s="9" t="str">
        <f aca="false">IF(AND($A58=$A59,ISNUMBER(N58),ISNUMBER(N59)),(N59-N58)/($C59-$C58),"")</f>
        <v/>
      </c>
      <c r="V58" s="8" t="n">
        <f aca="false">IF(ISNUMBER(F58),ROUND(F58,0),"")</f>
        <v>100</v>
      </c>
      <c r="W58" s="8" t="str">
        <f aca="false">IF(ISNUMBER(J58),ROUND(J58,0),"")</f>
        <v/>
      </c>
      <c r="X58" s="8" t="str">
        <f aca="false">IF(ISNUMBER(N58),ROUND(N58,0),"")</f>
        <v/>
      </c>
      <c r="Y58" s="4" t="str">
        <f aca="false">IF(AND($A58=$A59,V58=100,V59=100),"full access","")</f>
        <v>full access</v>
      </c>
      <c r="Z58" s="4" t="str">
        <f aca="false">IF(AND($A58=$A59,W58=100,W59=100),"full access","")</f>
        <v/>
      </c>
      <c r="AA58" s="4" t="str">
        <f aca="false">IF(AND($A58=$A59,X58=100,X59=100),"full access","")</f>
        <v/>
      </c>
      <c r="AB58" s="9" t="str">
        <f aca="false">IF(AND(ISNUMBER(T58),ISNUMBER(U58)),T58-U58,"")</f>
        <v/>
      </c>
    </row>
    <row r="59" customFormat="false" ht="15" hidden="false" customHeight="false" outlineLevel="0" collapsed="false">
      <c r="A59" s="4" t="s">
        <v>111</v>
      </c>
      <c r="B59" s="4" t="str">
        <f aca="false">IFERROR(INDEX('Region Lookup'!$B$2:$B$233,MATCH(A59,'Region Lookup'!$A$2:$A$233,0)),"Not found")</f>
        <v>Latin America &amp; Caribbean</v>
      </c>
      <c r="C59" s="4" t="n">
        <v>2020</v>
      </c>
      <c r="D59" s="6" t="n">
        <v>30.23699951</v>
      </c>
      <c r="E59" s="7" t="n">
        <v>48.51499939</v>
      </c>
      <c r="F59" s="7" t="n">
        <v>99.86438356</v>
      </c>
      <c r="G59" s="7" t="n">
        <v>0</v>
      </c>
      <c r="H59" s="7" t="n">
        <v>0.1356164384</v>
      </c>
      <c r="I59" s="7" t="n">
        <v>0</v>
      </c>
      <c r="J59" s="7"/>
      <c r="K59" s="7"/>
      <c r="L59" s="7"/>
      <c r="M59" s="7"/>
      <c r="N59" s="7"/>
      <c r="O59" s="7"/>
      <c r="P59" s="7"/>
      <c r="Q59" s="7"/>
      <c r="R59" s="8" t="str">
        <f aca="false">IF($A59=$A60,$C60-$C59,"")</f>
        <v/>
      </c>
      <c r="S59" s="9" t="str">
        <f aca="false">IF(AND($A59=$A60,ISNUMBER(F59),ISNUMBER(F60)),(F60-F59)/($C60-$C59),"")</f>
        <v/>
      </c>
      <c r="T59" s="9" t="str">
        <f aca="false">IF(AND($A59=$A60,ISNUMBER(J59),ISNUMBER(J60)),(J60-J59)/($C60-$C59),"")</f>
        <v/>
      </c>
      <c r="U59" s="9" t="str">
        <f aca="false">IF(AND($A59=$A60,ISNUMBER(N59),ISNUMBER(N60)),(N60-N59)/($C60-$C59),"")</f>
        <v/>
      </c>
      <c r="V59" s="8" t="n">
        <f aca="false">IF(ISNUMBER(F59),ROUND(F59,0),"")</f>
        <v>100</v>
      </c>
      <c r="W59" s="8" t="str">
        <f aca="false">IF(ISNUMBER(J59),ROUND(J59,0),"")</f>
        <v/>
      </c>
      <c r="X59" s="8" t="str">
        <f aca="false">IF(ISNUMBER(N59),ROUND(N59,0),"")</f>
        <v/>
      </c>
      <c r="Y59" s="4" t="str">
        <f aca="false">IF(AND($A59=$A60,V59=100,V60=100),"full access","")</f>
        <v/>
      </c>
      <c r="Z59" s="4" t="str">
        <f aca="false">IF(AND($A59=$A60,W59=100,W60=100),"full access","")</f>
        <v/>
      </c>
      <c r="AA59" s="4" t="str">
        <f aca="false">IF(AND($A59=$A60,X59=100,X60=100),"full access","")</f>
        <v/>
      </c>
      <c r="AB59" s="9" t="str">
        <f aca="false">IF(AND(ISNUMBER(T59),ISNUMBER(U59)),T59-U59,"")</f>
        <v/>
      </c>
    </row>
    <row r="60" customFormat="false" ht="15" hidden="false" customHeight="false" outlineLevel="0" collapsed="false">
      <c r="A60" s="10" t="s">
        <v>112</v>
      </c>
      <c r="B60" s="10" t="str">
        <f aca="false">IFERROR(INDEX('Region Lookup'!$B$2:$B$233,MATCH(A60,'Region Lookup'!$A$2:$A$233,0)),"Not found")</f>
        <v>East Asia &amp; Pacific</v>
      </c>
      <c r="C60" s="10" t="n">
        <v>2015</v>
      </c>
      <c r="D60" s="11" t="n">
        <v>414.9140015</v>
      </c>
      <c r="E60" s="12" t="n">
        <v>76.66299438</v>
      </c>
      <c r="F60" s="12" t="n">
        <v>99.50997616</v>
      </c>
      <c r="G60" s="12" t="n">
        <v>0</v>
      </c>
      <c r="H60" s="12" t="n">
        <v>0.3966758338</v>
      </c>
      <c r="I60" s="12" t="n">
        <v>0.09334800295</v>
      </c>
      <c r="J60" s="12" t="n">
        <v>99.05</v>
      </c>
      <c r="K60" s="12" t="n">
        <v>0</v>
      </c>
      <c r="L60" s="12" t="n">
        <v>0.55</v>
      </c>
      <c r="M60" s="12" t="n">
        <v>0.4</v>
      </c>
      <c r="N60" s="12" t="n">
        <v>99.65</v>
      </c>
      <c r="O60" s="12" t="n">
        <v>0</v>
      </c>
      <c r="P60" s="12" t="n">
        <v>0.35</v>
      </c>
      <c r="Q60" s="12" t="n">
        <v>0</v>
      </c>
      <c r="R60" s="13" t="n">
        <f aca="false">IF($A60=$A61,$C61-$C60,"")</f>
        <v>5</v>
      </c>
      <c r="S60" s="14" t="n">
        <f aca="false">IF(AND($A60=$A61,ISNUMBER(F60),ISNUMBER(F61)),(F61-F60)/($C61-$C60),"")</f>
        <v>0.0780121280000003</v>
      </c>
      <c r="T60" s="14" t="str">
        <f aca="false">IF(AND($A60=$A61,ISNUMBER(J60),ISNUMBER(J61)),(J61-J60)/($C61-$C60),"")</f>
        <v/>
      </c>
      <c r="U60" s="14" t="n">
        <f aca="false">IF(AND($A60=$A61,ISNUMBER(N60),ISNUMBER(N61)),(N61-N60)/($C61-$C60),"")</f>
        <v>0</v>
      </c>
      <c r="V60" s="13" t="n">
        <f aca="false">IF(ISNUMBER(F60),ROUND(F60,0),"")</f>
        <v>100</v>
      </c>
      <c r="W60" s="13" t="n">
        <f aca="false">IF(ISNUMBER(J60),ROUND(J60,0),"")</f>
        <v>99</v>
      </c>
      <c r="X60" s="13" t="n">
        <f aca="false">IF(ISNUMBER(N60),ROUND(N60,0),"")</f>
        <v>100</v>
      </c>
      <c r="Y60" s="10" t="str">
        <f aca="false">IF(AND($A60=$A61,V60=100,V61=100),"full access","")</f>
        <v>full access</v>
      </c>
      <c r="Z60" s="10" t="str">
        <f aca="false">IF(AND($A60=$A61,W60=100,W61=100),"full access","")</f>
        <v/>
      </c>
      <c r="AA60" s="10" t="str">
        <f aca="false">IF(AND($A60=$A61,X60=100,X61=100),"full access","")</f>
        <v>full access</v>
      </c>
      <c r="AB60" s="14" t="str">
        <f aca="false">IF(AND(ISNUMBER(T60),ISNUMBER(U60)),T60-U60,"")</f>
        <v/>
      </c>
    </row>
    <row r="61" customFormat="false" ht="15" hidden="false" customHeight="false" outlineLevel="0" collapsed="false">
      <c r="A61" s="10" t="s">
        <v>112</v>
      </c>
      <c r="B61" s="10" t="str">
        <f aca="false">IFERROR(INDEX('Region Lookup'!$B$2:$B$233,MATCH(A61,'Region Lookup'!$A$2:$A$233,0)),"Not found")</f>
        <v>East Asia &amp; Pacific</v>
      </c>
      <c r="C61" s="10" t="n">
        <v>2020</v>
      </c>
      <c r="D61" s="11" t="n">
        <v>437.4830017</v>
      </c>
      <c r="E61" s="12" t="n">
        <v>78.25000763</v>
      </c>
      <c r="F61" s="12" t="n">
        <v>99.9000368</v>
      </c>
      <c r="G61" s="12" t="n">
        <v>0</v>
      </c>
      <c r="H61" s="12" t="n">
        <v>0.09996320036</v>
      </c>
      <c r="I61" s="12" t="n">
        <v>0</v>
      </c>
      <c r="J61" s="12"/>
      <c r="K61" s="12"/>
      <c r="L61" s="12"/>
      <c r="M61" s="12"/>
      <c r="N61" s="12" t="n">
        <v>99.65</v>
      </c>
      <c r="O61" s="12" t="n">
        <v>0</v>
      </c>
      <c r="P61" s="12" t="n">
        <v>0.35</v>
      </c>
      <c r="Q61" s="12" t="n">
        <v>0</v>
      </c>
      <c r="R61" s="13" t="str">
        <f aca="false">IF($A61=$A62,$C62-$C61,"")</f>
        <v/>
      </c>
      <c r="S61" s="14" t="str">
        <f aca="false">IF(AND($A61=$A62,ISNUMBER(F61),ISNUMBER(F62)),(F62-F61)/($C62-$C61),"")</f>
        <v/>
      </c>
      <c r="T61" s="14" t="str">
        <f aca="false">IF(AND($A61=$A62,ISNUMBER(J61),ISNUMBER(J62)),(J62-J61)/($C62-$C61),"")</f>
        <v/>
      </c>
      <c r="U61" s="14" t="str">
        <f aca="false">IF(AND($A61=$A62,ISNUMBER(N61),ISNUMBER(N62)),(N62-N61)/($C62-$C61),"")</f>
        <v/>
      </c>
      <c r="V61" s="13" t="n">
        <f aca="false">IF(ISNUMBER(F61),ROUND(F61,0),"")</f>
        <v>100</v>
      </c>
      <c r="W61" s="13" t="str">
        <f aca="false">IF(ISNUMBER(J61),ROUND(J61,0),"")</f>
        <v/>
      </c>
      <c r="X61" s="13" t="n">
        <f aca="false">IF(ISNUMBER(N61),ROUND(N61,0),"")</f>
        <v>100</v>
      </c>
      <c r="Y61" s="10" t="str">
        <f aca="false">IF(AND($A61=$A62,V61=100,V62=100),"full access","")</f>
        <v/>
      </c>
      <c r="Z61" s="10" t="str">
        <f aca="false">IF(AND($A61=$A62,W61=100,W62=100),"full access","")</f>
        <v/>
      </c>
      <c r="AA61" s="10" t="str">
        <f aca="false">IF(AND($A61=$A62,X61=100,X62=100),"full access","")</f>
        <v/>
      </c>
      <c r="AB61" s="14" t="str">
        <f aca="false">IF(AND(ISNUMBER(T61),ISNUMBER(U61)),T61-U61,"")</f>
        <v/>
      </c>
    </row>
    <row r="62" customFormat="false" ht="15" hidden="false" customHeight="false" outlineLevel="0" collapsed="false">
      <c r="A62" s="4" t="s">
        <v>113</v>
      </c>
      <c r="B62" s="4" t="str">
        <f aca="false">IFERROR(INDEX('Region Lookup'!$B$2:$B$233,MATCH(A62,'Region Lookup'!$A$2:$A$233,0)),"Not found")</f>
        <v>Europe &amp; Central Asia</v>
      </c>
      <c r="C62" s="4" t="n">
        <v>2015</v>
      </c>
      <c r="D62" s="6" t="n">
        <v>7199.73877</v>
      </c>
      <c r="E62" s="7" t="n">
        <v>73.98999786</v>
      </c>
      <c r="F62" s="7" t="n">
        <v>99.19632731</v>
      </c>
      <c r="G62" s="7" t="n">
        <v>0</v>
      </c>
      <c r="H62" s="7" t="n">
        <v>0.8036726905</v>
      </c>
      <c r="I62" s="7" t="n">
        <v>0</v>
      </c>
      <c r="J62" s="7" t="n">
        <v>98.01614034</v>
      </c>
      <c r="K62" s="7" t="n">
        <v>0</v>
      </c>
      <c r="L62" s="7" t="n">
        <v>1.98385966</v>
      </c>
      <c r="M62" s="7" t="n">
        <v>0</v>
      </c>
      <c r="N62" s="7" t="n">
        <v>99.61120772</v>
      </c>
      <c r="O62" s="7" t="n">
        <v>0</v>
      </c>
      <c r="P62" s="7" t="n">
        <v>0.3887922761</v>
      </c>
      <c r="Q62" s="7" t="n">
        <v>0</v>
      </c>
      <c r="R62" s="8" t="n">
        <f aca="false">IF($A62=$A63,$C63-$C62,"")</f>
        <v>5</v>
      </c>
      <c r="S62" s="9" t="n">
        <f aca="false">IF(AND($A62=$A63,ISNUMBER(F62),ISNUMBER(F63)),(F63-F62)/($C63-$C62),"")</f>
        <v>-0.0369820739999994</v>
      </c>
      <c r="T62" s="9" t="n">
        <f aca="false">IF(AND($A62=$A63,ISNUMBER(J62),ISNUMBER(J63)),(J63-J62)/($C63-$C62),"")</f>
        <v>-0.122970474000002</v>
      </c>
      <c r="U62" s="9" t="n">
        <f aca="false">IF(AND($A62=$A63,ISNUMBER(N62),ISNUMBER(N63)),(N63-N62)/($C63-$C62),"")</f>
        <v>-0.016507464</v>
      </c>
      <c r="V62" s="8" t="n">
        <f aca="false">IF(ISNUMBER(F62),ROUND(F62,0),"")</f>
        <v>99</v>
      </c>
      <c r="W62" s="8" t="n">
        <f aca="false">IF(ISNUMBER(J62),ROUND(J62,0),"")</f>
        <v>98</v>
      </c>
      <c r="X62" s="8" t="n">
        <f aca="false">IF(ISNUMBER(N62),ROUND(N62,0),"")</f>
        <v>100</v>
      </c>
      <c r="Y62" s="4" t="str">
        <f aca="false">IF(AND($A62=$A63,V62=100,V63=100),"full access","")</f>
        <v/>
      </c>
      <c r="Z62" s="4" t="str">
        <f aca="false">IF(AND($A62=$A63,W62=100,W63=100),"full access","")</f>
        <v/>
      </c>
      <c r="AA62" s="4" t="str">
        <f aca="false">IF(AND($A62=$A63,X62=100,X63=100),"full access","")</f>
        <v>full access</v>
      </c>
      <c r="AB62" s="9" t="n">
        <f aca="false">IF(AND(ISNUMBER(T62),ISNUMBER(U62)),T62-U62,"")</f>
        <v>-0.106463010000002</v>
      </c>
    </row>
    <row r="63" customFormat="false" ht="15" hidden="false" customHeight="false" outlineLevel="0" collapsed="false">
      <c r="A63" s="4" t="s">
        <v>113</v>
      </c>
      <c r="B63" s="4" t="str">
        <f aca="false">IFERROR(INDEX('Region Lookup'!$B$2:$B$233,MATCH(A63,'Region Lookup'!$A$2:$A$233,0)),"Not found")</f>
        <v>Europe &amp; Central Asia</v>
      </c>
      <c r="C63" s="4" t="n">
        <v>2020</v>
      </c>
      <c r="D63" s="6" t="n">
        <v>6948.444824</v>
      </c>
      <c r="E63" s="7" t="n">
        <v>75.68599701</v>
      </c>
      <c r="F63" s="7" t="n">
        <v>99.01141694</v>
      </c>
      <c r="G63" s="7" t="n">
        <v>0</v>
      </c>
      <c r="H63" s="7" t="n">
        <v>0.9885830607</v>
      </c>
      <c r="I63" s="7" t="n">
        <v>0</v>
      </c>
      <c r="J63" s="7" t="n">
        <v>97.40128797</v>
      </c>
      <c r="K63" s="7" t="n">
        <v>0</v>
      </c>
      <c r="L63" s="7" t="n">
        <v>2.598712031</v>
      </c>
      <c r="M63" s="7" t="n">
        <v>0</v>
      </c>
      <c r="N63" s="7" t="n">
        <v>99.5286704</v>
      </c>
      <c r="O63" s="7" t="n">
        <v>0</v>
      </c>
      <c r="P63" s="7" t="n">
        <v>0.4713296007</v>
      </c>
      <c r="Q63" s="7" t="n">
        <v>0</v>
      </c>
      <c r="R63" s="8" t="str">
        <f aca="false">IF($A63=$A64,$C64-$C63,"")</f>
        <v/>
      </c>
      <c r="S63" s="9" t="str">
        <f aca="false">IF(AND($A63=$A64,ISNUMBER(F63),ISNUMBER(F64)),(F64-F63)/($C64-$C63),"")</f>
        <v/>
      </c>
      <c r="T63" s="9" t="str">
        <f aca="false">IF(AND($A63=$A64,ISNUMBER(J63),ISNUMBER(J64)),(J64-J63)/($C64-$C63),"")</f>
        <v/>
      </c>
      <c r="U63" s="9" t="str">
        <f aca="false">IF(AND($A63=$A64,ISNUMBER(N63),ISNUMBER(N64)),(N64-N63)/($C64-$C63),"")</f>
        <v/>
      </c>
      <c r="V63" s="8" t="n">
        <f aca="false">IF(ISNUMBER(F63),ROUND(F63,0),"")</f>
        <v>99</v>
      </c>
      <c r="W63" s="8" t="n">
        <f aca="false">IF(ISNUMBER(J63),ROUND(J63,0),"")</f>
        <v>97</v>
      </c>
      <c r="X63" s="8" t="n">
        <f aca="false">IF(ISNUMBER(N63),ROUND(N63,0),"")</f>
        <v>100</v>
      </c>
      <c r="Y63" s="4" t="str">
        <f aca="false">IF(AND($A63=$A64,V63=100,V64=100),"full access","")</f>
        <v/>
      </c>
      <c r="Z63" s="4" t="str">
        <f aca="false">IF(AND($A63=$A64,W63=100,W64=100),"full access","")</f>
        <v/>
      </c>
      <c r="AA63" s="4" t="str">
        <f aca="false">IF(AND($A63=$A64,X63=100,X64=100),"full access","")</f>
        <v/>
      </c>
      <c r="AB63" s="9" t="str">
        <f aca="false">IF(AND(ISNUMBER(T63),ISNUMBER(U63)),T63-U63,"")</f>
        <v/>
      </c>
    </row>
    <row r="64" customFormat="false" ht="15" hidden="false" customHeight="false" outlineLevel="0" collapsed="false">
      <c r="A64" s="10" t="s">
        <v>114</v>
      </c>
      <c r="B64" s="10" t="str">
        <f aca="false">IFERROR(INDEX('Region Lookup'!$B$2:$B$233,MATCH(A64,'Region Lookup'!$A$2:$A$233,0)),"Not found")</f>
        <v>Sub-Saharan Africa</v>
      </c>
      <c r="C64" s="10" t="n">
        <v>2015</v>
      </c>
      <c r="D64" s="11" t="n">
        <v>18110.61523</v>
      </c>
      <c r="E64" s="12" t="n">
        <v>27.53000069</v>
      </c>
      <c r="F64" s="12" t="n">
        <v>50.13713109</v>
      </c>
      <c r="G64" s="12" t="n">
        <v>25.67354095</v>
      </c>
      <c r="H64" s="12" t="n">
        <v>22.43017891</v>
      </c>
      <c r="I64" s="12" t="n">
        <v>1.759149043</v>
      </c>
      <c r="J64" s="12" t="n">
        <v>38.8551637</v>
      </c>
      <c r="K64" s="12" t="n">
        <v>30.20218489</v>
      </c>
      <c r="L64" s="12" t="n">
        <v>28.6486943</v>
      </c>
      <c r="M64" s="12" t="n">
        <v>2.293957106</v>
      </c>
      <c r="N64" s="12" t="n">
        <v>79.83579216</v>
      </c>
      <c r="O64" s="12" t="n">
        <v>13.75233459</v>
      </c>
      <c r="P64" s="12" t="n">
        <v>6.060553432</v>
      </c>
      <c r="Q64" s="12" t="n">
        <v>0.3513198178</v>
      </c>
      <c r="R64" s="13" t="n">
        <f aca="false">IF($A64=$A65,$C65-$C64,"")</f>
        <v>5</v>
      </c>
      <c r="S64" s="14" t="n">
        <f aca="false">IF(AND($A64=$A65,ISNUMBER(F64),ISNUMBER(F65)),(F65-F64)/($C65-$C64),"")</f>
        <v>-0.584455326</v>
      </c>
      <c r="T64" s="14" t="n">
        <f aca="false">IF(AND($A64=$A65,ISNUMBER(J64),ISNUMBER(J65)),(J65-J64)/($C65-$C64),"")</f>
        <v>-1.22738096</v>
      </c>
      <c r="U64" s="14" t="n">
        <f aca="false">IF(AND($A64=$A65,ISNUMBER(N64),ISNUMBER(N65)),(N65-N64)/($C65-$C64),"")</f>
        <v>0.0492252760000014</v>
      </c>
      <c r="V64" s="13" t="n">
        <f aca="false">IF(ISNUMBER(F64),ROUND(F64,0),"")</f>
        <v>50</v>
      </c>
      <c r="W64" s="13" t="n">
        <f aca="false">IF(ISNUMBER(J64),ROUND(J64,0),"")</f>
        <v>39</v>
      </c>
      <c r="X64" s="13" t="n">
        <f aca="false">IF(ISNUMBER(N64),ROUND(N64,0),"")</f>
        <v>80</v>
      </c>
      <c r="Y64" s="10" t="str">
        <f aca="false">IF(AND($A64=$A65,V64=100,V65=100),"full access","")</f>
        <v/>
      </c>
      <c r="Z64" s="10" t="str">
        <f aca="false">IF(AND($A64=$A65,W64=100,W65=100),"full access","")</f>
        <v/>
      </c>
      <c r="AA64" s="10" t="str">
        <f aca="false">IF(AND($A64=$A65,X64=100,X65=100),"full access","")</f>
        <v/>
      </c>
      <c r="AB64" s="14" t="n">
        <f aca="false">IF(AND(ISNUMBER(T64),ISNUMBER(U64)),T64-U64,"")</f>
        <v>-1.276606236</v>
      </c>
    </row>
    <row r="65" customFormat="false" ht="15" hidden="false" customHeight="false" outlineLevel="0" collapsed="false">
      <c r="A65" s="10" t="s">
        <v>114</v>
      </c>
      <c r="B65" s="10" t="str">
        <f aca="false">IFERROR(INDEX('Region Lookup'!$B$2:$B$233,MATCH(A65,'Region Lookup'!$A$2:$A$233,0)),"Not found")</f>
        <v>Sub-Saharan Africa</v>
      </c>
      <c r="C65" s="10" t="n">
        <v>2020</v>
      </c>
      <c r="D65" s="11" t="n">
        <v>20903.27734</v>
      </c>
      <c r="E65" s="12" t="n">
        <v>30.60700035</v>
      </c>
      <c r="F65" s="12" t="n">
        <v>47.21485446</v>
      </c>
      <c r="G65" s="12" t="n">
        <v>31.2730034</v>
      </c>
      <c r="H65" s="12" t="n">
        <v>21.15863263</v>
      </c>
      <c r="I65" s="12" t="n">
        <v>0.3535095024</v>
      </c>
      <c r="J65" s="12" t="n">
        <v>32.7182589</v>
      </c>
      <c r="K65" s="12" t="n">
        <v>38.62690254</v>
      </c>
      <c r="L65" s="12" t="n">
        <v>28.3404457</v>
      </c>
      <c r="M65" s="12" t="n">
        <v>0.3143928626</v>
      </c>
      <c r="N65" s="12" t="n">
        <v>80.08191854</v>
      </c>
      <c r="O65" s="12" t="n">
        <v>14.60004919</v>
      </c>
      <c r="P65" s="12" t="n">
        <v>4.875836487</v>
      </c>
      <c r="Q65" s="12" t="n">
        <v>0.4421957805</v>
      </c>
      <c r="R65" s="13" t="str">
        <f aca="false">IF($A65=$A66,$C66-$C65,"")</f>
        <v/>
      </c>
      <c r="S65" s="14" t="str">
        <f aca="false">IF(AND($A65=$A66,ISNUMBER(F65),ISNUMBER(F66)),(F66-F65)/($C66-$C65),"")</f>
        <v/>
      </c>
      <c r="T65" s="14" t="str">
        <f aca="false">IF(AND($A65=$A66,ISNUMBER(J65),ISNUMBER(J66)),(J66-J65)/($C66-$C65),"")</f>
        <v/>
      </c>
      <c r="U65" s="14" t="str">
        <f aca="false">IF(AND($A65=$A66,ISNUMBER(N65),ISNUMBER(N66)),(N66-N65)/($C66-$C65),"")</f>
        <v/>
      </c>
      <c r="V65" s="13" t="n">
        <f aca="false">IF(ISNUMBER(F65),ROUND(F65,0),"")</f>
        <v>47</v>
      </c>
      <c r="W65" s="13" t="n">
        <f aca="false">IF(ISNUMBER(J65),ROUND(J65,0),"")</f>
        <v>33</v>
      </c>
      <c r="X65" s="13" t="n">
        <f aca="false">IF(ISNUMBER(N65),ROUND(N65,0),"")</f>
        <v>80</v>
      </c>
      <c r="Y65" s="10" t="str">
        <f aca="false">IF(AND($A65=$A66,V65=100,V66=100),"full access","")</f>
        <v/>
      </c>
      <c r="Z65" s="10" t="str">
        <f aca="false">IF(AND($A65=$A66,W65=100,W66=100),"full access","")</f>
        <v/>
      </c>
      <c r="AA65" s="10" t="str">
        <f aca="false">IF(AND($A65=$A66,X65=100,X66=100),"full access","")</f>
        <v/>
      </c>
      <c r="AB65" s="14" t="str">
        <f aca="false">IF(AND(ISNUMBER(T65),ISNUMBER(U65)),T65-U65,"")</f>
        <v/>
      </c>
    </row>
    <row r="66" customFormat="false" ht="15" hidden="false" customHeight="false" outlineLevel="0" collapsed="false">
      <c r="A66" s="4" t="s">
        <v>115</v>
      </c>
      <c r="B66" s="4" t="str">
        <f aca="false">IFERROR(INDEX('Region Lookup'!$B$2:$B$233,MATCH(A66,'Region Lookup'!$A$2:$A$233,0)),"Not found")</f>
        <v>Sub-Saharan Africa</v>
      </c>
      <c r="C66" s="4" t="n">
        <v>2015</v>
      </c>
      <c r="D66" s="6" t="n">
        <v>10160.03418</v>
      </c>
      <c r="E66" s="7" t="n">
        <v>12.07800007</v>
      </c>
      <c r="F66" s="7" t="n">
        <v>59.58146925</v>
      </c>
      <c r="G66" s="7" t="n">
        <v>19.53889184</v>
      </c>
      <c r="H66" s="7" t="n">
        <v>14.86499258</v>
      </c>
      <c r="I66" s="7" t="n">
        <v>6.01464634</v>
      </c>
      <c r="J66" s="7" t="n">
        <v>55.55826691</v>
      </c>
      <c r="K66" s="7" t="n">
        <v>21.16679557</v>
      </c>
      <c r="L66" s="7" t="n">
        <v>16.59414457</v>
      </c>
      <c r="M66" s="7" t="n">
        <v>6.680792951</v>
      </c>
      <c r="N66" s="7" t="n">
        <v>88.86843759</v>
      </c>
      <c r="O66" s="7" t="n">
        <v>7.688539534</v>
      </c>
      <c r="P66" s="7" t="n">
        <v>2.277601866</v>
      </c>
      <c r="Q66" s="7" t="n">
        <v>1.165421012</v>
      </c>
      <c r="R66" s="8" t="n">
        <f aca="false">IF($A66=$A67,$C67-$C66,"")</f>
        <v>5</v>
      </c>
      <c r="S66" s="9" t="n">
        <f aca="false">IF(AND($A66=$A67,ISNUMBER(F66),ISNUMBER(F67)),(F67-F66)/($C67-$C66),"")</f>
        <v>0.5251306</v>
      </c>
      <c r="T66" s="9" t="n">
        <f aca="false">IF(AND($A66=$A67,ISNUMBER(J66),ISNUMBER(J67)),(J67-J66)/($C67-$C66),"")</f>
        <v>0.425499671999999</v>
      </c>
      <c r="U66" s="9" t="n">
        <f aca="false">IF(AND($A66=$A67,ISNUMBER(N66),ISNUMBER(N67)),(N67-N66)/($C67-$C66),"")</f>
        <v>0.360134654000001</v>
      </c>
      <c r="V66" s="8" t="n">
        <f aca="false">IF(ISNUMBER(F66),ROUND(F66,0),"")</f>
        <v>60</v>
      </c>
      <c r="W66" s="8" t="n">
        <f aca="false">IF(ISNUMBER(J66),ROUND(J66,0),"")</f>
        <v>56</v>
      </c>
      <c r="X66" s="8" t="n">
        <f aca="false">IF(ISNUMBER(N66),ROUND(N66,0),"")</f>
        <v>89</v>
      </c>
      <c r="Y66" s="4" t="str">
        <f aca="false">IF(AND($A66=$A67,V66=100,V67=100),"full access","")</f>
        <v/>
      </c>
      <c r="Z66" s="4" t="str">
        <f aca="false">IF(AND($A66=$A67,W66=100,W67=100),"full access","")</f>
        <v/>
      </c>
      <c r="AA66" s="4" t="str">
        <f aca="false">IF(AND($A66=$A67,X66=100,X67=100),"full access","")</f>
        <v/>
      </c>
      <c r="AB66" s="9" t="n">
        <f aca="false">IF(AND(ISNUMBER(T66),ISNUMBER(U66)),T66-U66,"")</f>
        <v>0.0653650179999985</v>
      </c>
    </row>
    <row r="67" customFormat="false" ht="15" hidden="false" customHeight="false" outlineLevel="0" collapsed="false">
      <c r="A67" s="4" t="s">
        <v>115</v>
      </c>
      <c r="B67" s="4" t="str">
        <f aca="false">IFERROR(INDEX('Region Lookup'!$B$2:$B$233,MATCH(A67,'Region Lookup'!$A$2:$A$233,0)),"Not found")</f>
        <v>Sub-Saharan Africa</v>
      </c>
      <c r="C67" s="4" t="n">
        <v>2020</v>
      </c>
      <c r="D67" s="6" t="n">
        <v>11890.78125</v>
      </c>
      <c r="E67" s="7" t="n">
        <v>13.70800018</v>
      </c>
      <c r="F67" s="7" t="n">
        <v>62.20712225</v>
      </c>
      <c r="G67" s="7" t="n">
        <v>19.43969314</v>
      </c>
      <c r="H67" s="7" t="n">
        <v>14.75825969</v>
      </c>
      <c r="I67" s="7" t="n">
        <v>3.594924913</v>
      </c>
      <c r="J67" s="7" t="n">
        <v>57.68576527</v>
      </c>
      <c r="K67" s="7" t="n">
        <v>21.25148213</v>
      </c>
      <c r="L67" s="7" t="n">
        <v>16.89675238</v>
      </c>
      <c r="M67" s="7" t="n">
        <v>4.166000219</v>
      </c>
      <c r="N67" s="7" t="n">
        <v>90.66911086</v>
      </c>
      <c r="O67" s="7" t="n">
        <v>8.034462869</v>
      </c>
      <c r="P67" s="7" t="n">
        <v>1.296426269</v>
      </c>
      <c r="Q67" s="7" t="n">
        <v>0</v>
      </c>
      <c r="R67" s="8" t="str">
        <f aca="false">IF($A67=$A68,$C68-$C67,"")</f>
        <v/>
      </c>
      <c r="S67" s="9" t="str">
        <f aca="false">IF(AND($A67=$A68,ISNUMBER(F67),ISNUMBER(F68)),(F68-F67)/($C68-$C67),"")</f>
        <v/>
      </c>
      <c r="T67" s="9" t="str">
        <f aca="false">IF(AND($A67=$A68,ISNUMBER(J67),ISNUMBER(J68)),(J68-J67)/($C68-$C67),"")</f>
        <v/>
      </c>
      <c r="U67" s="9" t="str">
        <f aca="false">IF(AND($A67=$A68,ISNUMBER(N67),ISNUMBER(N68)),(N68-N67)/($C68-$C67),"")</f>
        <v/>
      </c>
      <c r="V67" s="8" t="n">
        <f aca="false">IF(ISNUMBER(F67),ROUND(F67,0),"")</f>
        <v>62</v>
      </c>
      <c r="W67" s="8" t="n">
        <f aca="false">IF(ISNUMBER(J67),ROUND(J67,0),"")</f>
        <v>58</v>
      </c>
      <c r="X67" s="8" t="n">
        <f aca="false">IF(ISNUMBER(N67),ROUND(N67,0),"")</f>
        <v>91</v>
      </c>
      <c r="Y67" s="4" t="str">
        <f aca="false">IF(AND($A67=$A68,V67=100,V68=100),"full access","")</f>
        <v/>
      </c>
      <c r="Z67" s="4" t="str">
        <f aca="false">IF(AND($A67=$A68,W67=100,W68=100),"full access","")</f>
        <v/>
      </c>
      <c r="AA67" s="4" t="str">
        <f aca="false">IF(AND($A67=$A68,X67=100,X68=100),"full access","")</f>
        <v/>
      </c>
      <c r="AB67" s="9" t="str">
        <f aca="false">IF(AND(ISNUMBER(T67),ISNUMBER(U67)),T67-U67,"")</f>
        <v/>
      </c>
    </row>
    <row r="68" customFormat="false" ht="15" hidden="false" customHeight="false" outlineLevel="0" collapsed="false">
      <c r="A68" s="10" t="s">
        <v>116</v>
      </c>
      <c r="B68" s="10" t="str">
        <f aca="false">IFERROR(INDEX('Region Lookup'!$B$2:$B$233,MATCH(A68,'Region Lookup'!$A$2:$A$233,0)),"Not found")</f>
        <v>Sub-Saharan Africa</v>
      </c>
      <c r="C68" s="10" t="n">
        <v>2015</v>
      </c>
      <c r="D68" s="11" t="n">
        <v>524.7399902</v>
      </c>
      <c r="E68" s="12" t="n">
        <v>64.29999542</v>
      </c>
      <c r="F68" s="12" t="n">
        <v>85.44334237</v>
      </c>
      <c r="G68" s="12" t="n">
        <v>10.25307762</v>
      </c>
      <c r="H68" s="12" t="n">
        <v>4.151948319</v>
      </c>
      <c r="I68" s="12" t="n">
        <v>0.1516316911</v>
      </c>
      <c r="J68" s="12" t="n">
        <v>72.83231411</v>
      </c>
      <c r="K68" s="12" t="n">
        <v>16.37979458</v>
      </c>
      <c r="L68" s="12" t="n">
        <v>10.43676077</v>
      </c>
      <c r="M68" s="12" t="n">
        <v>0.3511305397</v>
      </c>
      <c r="N68" s="12" t="n">
        <v>92.44511451</v>
      </c>
      <c r="O68" s="12" t="n">
        <v>6.851463911</v>
      </c>
      <c r="P68" s="12" t="n">
        <v>0.6625536281</v>
      </c>
      <c r="Q68" s="12" t="n">
        <v>0.0408679538</v>
      </c>
      <c r="R68" s="13" t="n">
        <f aca="false">IF($A68=$A69,$C69-$C68,"")</f>
        <v>5</v>
      </c>
      <c r="S68" s="14" t="n">
        <f aca="false">IF(AND($A68=$A69,ISNUMBER(F68),ISNUMBER(F69)),(F69-F68)/($C69-$C68),"")</f>
        <v>0.665252810000001</v>
      </c>
      <c r="T68" s="14" t="n">
        <f aca="false">IF(AND($A68=$A69,ISNUMBER(J68),ISNUMBER(J69)),(J69-J68)/($C69-$C68),"")</f>
        <v>1.456442266</v>
      </c>
      <c r="U68" s="14" t="n">
        <f aca="false">IF(AND($A68=$A69,ISNUMBER(N68),ISNUMBER(N69)),(N69-N68)/($C69-$C68),"")</f>
        <v>0.130977098</v>
      </c>
      <c r="V68" s="13" t="n">
        <f aca="false">IF(ISNUMBER(F68),ROUND(F68,0),"")</f>
        <v>85</v>
      </c>
      <c r="W68" s="13" t="n">
        <f aca="false">IF(ISNUMBER(J68),ROUND(J68,0),"")</f>
        <v>73</v>
      </c>
      <c r="X68" s="13" t="n">
        <f aca="false">IF(ISNUMBER(N68),ROUND(N68,0),"")</f>
        <v>92</v>
      </c>
      <c r="Y68" s="10" t="str">
        <f aca="false">IF(AND($A68=$A69,V68=100,V69=100),"full access","")</f>
        <v/>
      </c>
      <c r="Z68" s="10" t="str">
        <f aca="false">IF(AND($A68=$A69,W68=100,W69=100),"full access","")</f>
        <v/>
      </c>
      <c r="AA68" s="10" t="str">
        <f aca="false">IF(AND($A68=$A69,X68=100,X69=100),"full access","")</f>
        <v/>
      </c>
      <c r="AB68" s="14" t="n">
        <f aca="false">IF(AND(ISNUMBER(T68),ISNUMBER(U68)),T68-U68,"")</f>
        <v>1.325465168</v>
      </c>
    </row>
    <row r="69" customFormat="false" ht="15" hidden="false" customHeight="false" outlineLevel="0" collapsed="false">
      <c r="A69" s="10" t="s">
        <v>116</v>
      </c>
      <c r="B69" s="10" t="str">
        <f aca="false">IFERROR(INDEX('Region Lookup'!$B$2:$B$233,MATCH(A69,'Region Lookup'!$A$2:$A$233,0)),"Not found")</f>
        <v>Sub-Saharan Africa</v>
      </c>
      <c r="C69" s="10" t="n">
        <v>2020</v>
      </c>
      <c r="D69" s="11" t="n">
        <v>555.9879761</v>
      </c>
      <c r="E69" s="12" t="n">
        <v>66.65200043</v>
      </c>
      <c r="F69" s="12" t="n">
        <v>88.76960642</v>
      </c>
      <c r="G69" s="12" t="n">
        <v>7.904150846</v>
      </c>
      <c r="H69" s="12" t="n">
        <v>3.209147716</v>
      </c>
      <c r="I69" s="12" t="n">
        <v>0.1170950144</v>
      </c>
      <c r="J69" s="12" t="n">
        <v>80.11452544</v>
      </c>
      <c r="K69" s="12" t="n">
        <v>9.911127022</v>
      </c>
      <c r="L69" s="12" t="n">
        <v>9.623217003</v>
      </c>
      <c r="M69" s="12" t="n">
        <v>0.3511305397</v>
      </c>
      <c r="N69" s="12" t="n">
        <v>93.1</v>
      </c>
      <c r="O69" s="12" t="n">
        <v>6.9</v>
      </c>
      <c r="P69" s="12" t="n">
        <v>0</v>
      </c>
      <c r="Q69" s="12" t="n">
        <v>0</v>
      </c>
      <c r="R69" s="13" t="str">
        <f aca="false">IF($A69=$A70,$C70-$C69,"")</f>
        <v/>
      </c>
      <c r="S69" s="14" t="str">
        <f aca="false">IF(AND($A69=$A70,ISNUMBER(F69),ISNUMBER(F70)),(F70-F69)/($C70-$C69),"")</f>
        <v/>
      </c>
      <c r="T69" s="14" t="str">
        <f aca="false">IF(AND($A69=$A70,ISNUMBER(J69),ISNUMBER(J70)),(J70-J69)/($C70-$C69),"")</f>
        <v/>
      </c>
      <c r="U69" s="14" t="str">
        <f aca="false">IF(AND($A69=$A70,ISNUMBER(N69),ISNUMBER(N70)),(N70-N69)/($C70-$C69),"")</f>
        <v/>
      </c>
      <c r="V69" s="13" t="n">
        <f aca="false">IF(ISNUMBER(F69),ROUND(F69,0),"")</f>
        <v>89</v>
      </c>
      <c r="W69" s="13" t="n">
        <f aca="false">IF(ISNUMBER(J69),ROUND(J69,0),"")</f>
        <v>80</v>
      </c>
      <c r="X69" s="13" t="n">
        <f aca="false">IF(ISNUMBER(N69),ROUND(N69,0),"")</f>
        <v>93</v>
      </c>
      <c r="Y69" s="10" t="str">
        <f aca="false">IF(AND($A69=$A70,V69=100,V70=100),"full access","")</f>
        <v/>
      </c>
      <c r="Z69" s="10" t="str">
        <f aca="false">IF(AND($A69=$A70,W69=100,W70=100),"full access","")</f>
        <v/>
      </c>
      <c r="AA69" s="10" t="str">
        <f aca="false">IF(AND($A69=$A70,X69=100,X70=100),"full access","")</f>
        <v/>
      </c>
      <c r="AB69" s="14" t="str">
        <f aca="false">IF(AND(ISNUMBER(T69),ISNUMBER(U69)),T69-U69,"")</f>
        <v/>
      </c>
    </row>
    <row r="70" customFormat="false" ht="15" hidden="false" customHeight="false" outlineLevel="0" collapsed="false">
      <c r="A70" s="4" t="s">
        <v>117</v>
      </c>
      <c r="B70" s="4" t="str">
        <f aca="false">IFERROR(INDEX('Region Lookup'!$B$2:$B$233,MATCH(A70,'Region Lookup'!$A$2:$A$233,0)),"Not found")</f>
        <v>East Asia &amp; Pacific</v>
      </c>
      <c r="C70" s="4" t="n">
        <v>2015</v>
      </c>
      <c r="D70" s="6" t="n">
        <v>15521.43457</v>
      </c>
      <c r="E70" s="7" t="n">
        <v>22.18799973</v>
      </c>
      <c r="F70" s="7" t="n">
        <v>68.44384896</v>
      </c>
      <c r="G70" s="7" t="n">
        <v>8.603248193</v>
      </c>
      <c r="H70" s="7" t="n">
        <v>9.602994817</v>
      </c>
      <c r="I70" s="7" t="n">
        <v>13.34990803</v>
      </c>
      <c r="J70" s="7" t="n">
        <v>62.71111668</v>
      </c>
      <c r="K70" s="7" t="n">
        <v>9.432045638</v>
      </c>
      <c r="L70" s="7" t="n">
        <v>11.75089596</v>
      </c>
      <c r="M70" s="7" t="n">
        <v>16.10594172</v>
      </c>
      <c r="N70" s="7" t="n">
        <v>88.54819144</v>
      </c>
      <c r="O70" s="7" t="n">
        <v>5.696703472</v>
      </c>
      <c r="P70" s="7" t="n">
        <v>2.070445687</v>
      </c>
      <c r="Q70" s="7" t="n">
        <v>3.6846594</v>
      </c>
      <c r="R70" s="8" t="n">
        <f aca="false">IF($A70=$A71,$C71-$C70,"")</f>
        <v>5</v>
      </c>
      <c r="S70" s="9" t="n">
        <f aca="false">IF(AND($A70=$A71,ISNUMBER(F70),ISNUMBER(F71)),(F71-F70)/($C71-$C70),"")</f>
        <v>0.555207202</v>
      </c>
      <c r="T70" s="9" t="n">
        <f aca="false">IF(AND($A70=$A71,ISNUMBER(J70),ISNUMBER(J71)),(J71-J70)/($C71-$C70),"")</f>
        <v>0.47120783</v>
      </c>
      <c r="U70" s="9" t="n">
        <f aca="false">IF(AND($A70=$A71,ISNUMBER(N70),ISNUMBER(N71)),(N71-N70)/($C71-$C70),"")</f>
        <v>0.381977146</v>
      </c>
      <c r="V70" s="8" t="n">
        <f aca="false">IF(ISNUMBER(F70),ROUND(F70,0),"")</f>
        <v>68</v>
      </c>
      <c r="W70" s="8" t="n">
        <f aca="false">IF(ISNUMBER(J70),ROUND(J70,0),"")</f>
        <v>63</v>
      </c>
      <c r="X70" s="8" t="n">
        <f aca="false">IF(ISNUMBER(N70),ROUND(N70,0),"")</f>
        <v>89</v>
      </c>
      <c r="Y70" s="4" t="str">
        <f aca="false">IF(AND($A70=$A71,V70=100,V71=100),"full access","")</f>
        <v/>
      </c>
      <c r="Z70" s="4" t="str">
        <f aca="false">IF(AND($A70=$A71,W70=100,W71=100),"full access","")</f>
        <v/>
      </c>
      <c r="AA70" s="4" t="str">
        <f aca="false">IF(AND($A70=$A71,X70=100,X71=100),"full access","")</f>
        <v/>
      </c>
      <c r="AB70" s="9" t="n">
        <f aca="false">IF(AND(ISNUMBER(T70),ISNUMBER(U70)),T70-U70,"")</f>
        <v>0.0892306840000003</v>
      </c>
    </row>
    <row r="71" customFormat="false" ht="15" hidden="false" customHeight="false" outlineLevel="0" collapsed="false">
      <c r="A71" s="4" t="s">
        <v>117</v>
      </c>
      <c r="B71" s="4" t="str">
        <f aca="false">IFERROR(INDEX('Region Lookup'!$B$2:$B$233,MATCH(A71,'Region Lookup'!$A$2:$A$233,0)),"Not found")</f>
        <v>East Asia &amp; Pacific</v>
      </c>
      <c r="C71" s="4" t="n">
        <v>2020</v>
      </c>
      <c r="D71" s="6" t="n">
        <v>16718.9707</v>
      </c>
      <c r="E71" s="7" t="n">
        <v>24.23200035</v>
      </c>
      <c r="F71" s="7" t="n">
        <v>71.21988497</v>
      </c>
      <c r="G71" s="7" t="n">
        <v>13.90222204</v>
      </c>
      <c r="H71" s="7" t="n">
        <v>5.677218558</v>
      </c>
      <c r="I71" s="7" t="n">
        <v>9.200674434</v>
      </c>
      <c r="J71" s="7" t="n">
        <v>65.06715583</v>
      </c>
      <c r="K71" s="7" t="n">
        <v>15.51772278</v>
      </c>
      <c r="L71" s="7" t="n">
        <v>7.492899307</v>
      </c>
      <c r="M71" s="7" t="n">
        <v>11.92222209</v>
      </c>
      <c r="N71" s="7" t="n">
        <v>90.45807717</v>
      </c>
      <c r="O71" s="7" t="n">
        <v>8.85091472</v>
      </c>
      <c r="P71" s="7" t="n">
        <v>0</v>
      </c>
      <c r="Q71" s="7" t="n">
        <v>0.6910081144</v>
      </c>
      <c r="R71" s="8" t="str">
        <f aca="false">IF($A71=$A72,$C72-$C71,"")</f>
        <v/>
      </c>
      <c r="S71" s="9" t="str">
        <f aca="false">IF(AND($A71=$A72,ISNUMBER(F71),ISNUMBER(F72)),(F72-F71)/($C72-$C71),"")</f>
        <v/>
      </c>
      <c r="T71" s="9" t="str">
        <f aca="false">IF(AND($A71=$A72,ISNUMBER(J71),ISNUMBER(J72)),(J72-J71)/($C72-$C71),"")</f>
        <v/>
      </c>
      <c r="U71" s="9" t="str">
        <f aca="false">IF(AND($A71=$A72,ISNUMBER(N71),ISNUMBER(N72)),(N72-N71)/($C72-$C71),"")</f>
        <v/>
      </c>
      <c r="V71" s="8" t="n">
        <f aca="false">IF(ISNUMBER(F71),ROUND(F71,0),"")</f>
        <v>71</v>
      </c>
      <c r="W71" s="8" t="n">
        <f aca="false">IF(ISNUMBER(J71),ROUND(J71,0),"")</f>
        <v>65</v>
      </c>
      <c r="X71" s="8" t="n">
        <f aca="false">IF(ISNUMBER(N71),ROUND(N71,0),"")</f>
        <v>90</v>
      </c>
      <c r="Y71" s="4" t="str">
        <f aca="false">IF(AND($A71=$A72,V71=100,V72=100),"full access","")</f>
        <v/>
      </c>
      <c r="Z71" s="4" t="str">
        <f aca="false">IF(AND($A71=$A72,W71=100,W72=100),"full access","")</f>
        <v/>
      </c>
      <c r="AA71" s="4" t="str">
        <f aca="false">IF(AND($A71=$A72,X71=100,X72=100),"full access","")</f>
        <v/>
      </c>
      <c r="AB71" s="9" t="str">
        <f aca="false">IF(AND(ISNUMBER(T71),ISNUMBER(U71)),T71-U71,"")</f>
        <v/>
      </c>
    </row>
    <row r="72" customFormat="false" ht="15" hidden="false" customHeight="false" outlineLevel="0" collapsed="false">
      <c r="A72" s="10" t="s">
        <v>118</v>
      </c>
      <c r="B72" s="10" t="str">
        <f aca="false">IFERROR(INDEX('Region Lookup'!$B$2:$B$233,MATCH(A72,'Region Lookup'!$A$2:$A$233,0)),"Not found")</f>
        <v>Sub-Saharan Africa</v>
      </c>
      <c r="C72" s="10" t="n">
        <v>2015</v>
      </c>
      <c r="D72" s="11" t="n">
        <v>23298.37695</v>
      </c>
      <c r="E72" s="12" t="n">
        <v>54.57799911</v>
      </c>
      <c r="F72" s="12" t="n">
        <v>63.97399012</v>
      </c>
      <c r="G72" s="12" t="n">
        <v>11.23827056</v>
      </c>
      <c r="H72" s="12" t="n">
        <v>17.65135833</v>
      </c>
      <c r="I72" s="12" t="n">
        <v>7.136380984</v>
      </c>
      <c r="J72" s="12" t="n">
        <v>42.00566921</v>
      </c>
      <c r="K72" s="12" t="n">
        <v>11.07338641</v>
      </c>
      <c r="L72" s="12" t="n">
        <v>32.39404459</v>
      </c>
      <c r="M72" s="12" t="n">
        <v>14.52689979</v>
      </c>
      <c r="N72" s="12" t="n">
        <v>82.25690791</v>
      </c>
      <c r="O72" s="12" t="n">
        <v>11.37549377</v>
      </c>
      <c r="P72" s="12" t="n">
        <v>5.381903513</v>
      </c>
      <c r="Q72" s="12" t="n">
        <v>0.9856948028</v>
      </c>
      <c r="R72" s="13" t="n">
        <f aca="false">IF($A72=$A73,$C73-$C72,"")</f>
        <v>5</v>
      </c>
      <c r="S72" s="14" t="n">
        <f aca="false">IF(AND($A72=$A73,ISNUMBER(F72),ISNUMBER(F73)),(F73-F72)/($C73-$C72),"")</f>
        <v>0.349285611999998</v>
      </c>
      <c r="T72" s="14" t="n">
        <f aca="false">IF(AND($A72=$A73,ISNUMBER(J72),ISNUMBER(J73)),(J73-J72)/($C73-$C72),"")</f>
        <v>0.304382382</v>
      </c>
      <c r="U72" s="14" t="n">
        <f aca="false">IF(AND($A72=$A73,ISNUMBER(N72),ISNUMBER(N73)),(N73-N72)/($C73-$C72),"")</f>
        <v>-0.0346646099999987</v>
      </c>
      <c r="V72" s="13" t="n">
        <f aca="false">IF(ISNUMBER(F72),ROUND(F72,0),"")</f>
        <v>64</v>
      </c>
      <c r="W72" s="13" t="n">
        <f aca="false">IF(ISNUMBER(J72),ROUND(J72,0),"")</f>
        <v>42</v>
      </c>
      <c r="X72" s="13" t="n">
        <f aca="false">IF(ISNUMBER(N72),ROUND(N72,0),"")</f>
        <v>82</v>
      </c>
      <c r="Y72" s="10" t="str">
        <f aca="false">IF(AND($A72=$A73,V72=100,V73=100),"full access","")</f>
        <v/>
      </c>
      <c r="Z72" s="10" t="str">
        <f aca="false">IF(AND($A72=$A73,W72=100,W73=100),"full access","")</f>
        <v/>
      </c>
      <c r="AA72" s="10" t="str">
        <f aca="false">IF(AND($A72=$A73,X72=100,X73=100),"full access","")</f>
        <v/>
      </c>
      <c r="AB72" s="14" t="n">
        <f aca="false">IF(AND(ISNUMBER(T72),ISNUMBER(U72)),T72-U72,"")</f>
        <v>0.339046991999999</v>
      </c>
    </row>
    <row r="73" customFormat="false" ht="15" hidden="false" customHeight="false" outlineLevel="0" collapsed="false">
      <c r="A73" s="10" t="s">
        <v>118</v>
      </c>
      <c r="B73" s="10" t="str">
        <f aca="false">IFERROR(INDEX('Region Lookup'!$B$2:$B$233,MATCH(A73,'Region Lookup'!$A$2:$A$233,0)),"Not found")</f>
        <v>Sub-Saharan Africa</v>
      </c>
      <c r="C73" s="10" t="n">
        <v>2020</v>
      </c>
      <c r="D73" s="11" t="n">
        <v>26545.86328</v>
      </c>
      <c r="E73" s="12" t="n">
        <v>57.56000519</v>
      </c>
      <c r="F73" s="12" t="n">
        <v>65.72041818</v>
      </c>
      <c r="G73" s="12" t="n">
        <v>12.87474863</v>
      </c>
      <c r="H73" s="12" t="n">
        <v>15.00100626</v>
      </c>
      <c r="I73" s="12" t="n">
        <v>6.403826927</v>
      </c>
      <c r="J73" s="12" t="n">
        <v>43.52758112</v>
      </c>
      <c r="K73" s="12" t="n">
        <v>12.67259943</v>
      </c>
      <c r="L73" s="12" t="n">
        <v>30.12380645</v>
      </c>
      <c r="M73" s="12" t="n">
        <v>13.676013</v>
      </c>
      <c r="N73" s="12" t="n">
        <v>82.08358486</v>
      </c>
      <c r="O73" s="12" t="n">
        <v>13.02379677</v>
      </c>
      <c r="P73" s="12" t="n">
        <v>3.850701351</v>
      </c>
      <c r="Q73" s="12" t="n">
        <v>1.041917019</v>
      </c>
      <c r="R73" s="13" t="str">
        <f aca="false">IF($A73=$A74,$C74-$C73,"")</f>
        <v/>
      </c>
      <c r="S73" s="14" t="str">
        <f aca="false">IF(AND($A73=$A74,ISNUMBER(F73),ISNUMBER(F74)),(F74-F73)/($C74-$C73),"")</f>
        <v/>
      </c>
      <c r="T73" s="14" t="str">
        <f aca="false">IF(AND($A73=$A74,ISNUMBER(J73),ISNUMBER(J74)),(J74-J73)/($C74-$C73),"")</f>
        <v/>
      </c>
      <c r="U73" s="14" t="str">
        <f aca="false">IF(AND($A73=$A74,ISNUMBER(N73),ISNUMBER(N74)),(N74-N73)/($C74-$C73),"")</f>
        <v/>
      </c>
      <c r="V73" s="13" t="n">
        <f aca="false">IF(ISNUMBER(F73),ROUND(F73,0),"")</f>
        <v>66</v>
      </c>
      <c r="W73" s="13" t="n">
        <f aca="false">IF(ISNUMBER(J73),ROUND(J73,0),"")</f>
        <v>44</v>
      </c>
      <c r="X73" s="13" t="n">
        <f aca="false">IF(ISNUMBER(N73),ROUND(N73,0),"")</f>
        <v>82</v>
      </c>
      <c r="Y73" s="10" t="str">
        <f aca="false">IF(AND($A73=$A74,V73=100,V74=100),"full access","")</f>
        <v/>
      </c>
      <c r="Z73" s="10" t="str">
        <f aca="false">IF(AND($A73=$A74,W73=100,W74=100),"full access","")</f>
        <v/>
      </c>
      <c r="AA73" s="10" t="str">
        <f aca="false">IF(AND($A73=$A74,X73=100,X74=100),"full access","")</f>
        <v/>
      </c>
      <c r="AB73" s="14" t="str">
        <f aca="false">IF(AND(ISNUMBER(T73),ISNUMBER(U73)),T73-U73,"")</f>
        <v/>
      </c>
    </row>
    <row r="74" customFormat="false" ht="15" hidden="false" customHeight="false" outlineLevel="0" collapsed="false">
      <c r="A74" s="4" t="s">
        <v>119</v>
      </c>
      <c r="B74" s="4" t="str">
        <f aca="false">IFERROR(INDEX('Region Lookup'!$B$2:$B$233,MATCH(A74,'Region Lookup'!$A$2:$A$233,0)),"Not found")</f>
        <v>North America</v>
      </c>
      <c r="C74" s="4" t="n">
        <v>2015</v>
      </c>
      <c r="D74" s="6" t="n">
        <v>36026.66797</v>
      </c>
      <c r="E74" s="7" t="n">
        <v>81.25900269</v>
      </c>
      <c r="F74" s="7" t="n">
        <v>99.22922139</v>
      </c>
      <c r="G74" s="7" t="n">
        <v>0</v>
      </c>
      <c r="H74" s="7" t="n">
        <v>0.7707786091</v>
      </c>
      <c r="I74" s="7" t="n">
        <v>0</v>
      </c>
      <c r="J74" s="7" t="n">
        <v>98.81619508</v>
      </c>
      <c r="K74" s="7" t="n">
        <v>0</v>
      </c>
      <c r="L74" s="7" t="n">
        <v>1.183804922</v>
      </c>
      <c r="M74" s="7" t="n">
        <v>0</v>
      </c>
      <c r="N74" s="7" t="n">
        <v>99.32447885</v>
      </c>
      <c r="O74" s="7" t="n">
        <v>0</v>
      </c>
      <c r="P74" s="7" t="n">
        <v>0.6755211473</v>
      </c>
      <c r="Q74" s="7" t="n">
        <v>0</v>
      </c>
      <c r="R74" s="8" t="n">
        <f aca="false">IF($A74=$A75,$C75-$C74,"")</f>
        <v>5</v>
      </c>
      <c r="S74" s="9" t="n">
        <f aca="false">IF(AND($A74=$A75,ISNUMBER(F74),ISNUMBER(F75)),(F75-F74)/($C75-$C74),"")</f>
        <v>-0.00148214600000074</v>
      </c>
      <c r="T74" s="9" t="n">
        <f aca="false">IF(AND($A74=$A75,ISNUMBER(J74),ISNUMBER(J75)),(J75-J74)/($C75-$C74),"")</f>
        <v>0.0488601640000013</v>
      </c>
      <c r="U74" s="9" t="n">
        <f aca="false">IF(AND($A74=$A75,ISNUMBER(N74),ISNUMBER(N75)),(N75-N74)/($C75-$C74),"")</f>
        <v>-0.0132402380000002</v>
      </c>
      <c r="V74" s="8" t="n">
        <f aca="false">IF(ISNUMBER(F74),ROUND(F74,0),"")</f>
        <v>99</v>
      </c>
      <c r="W74" s="8" t="n">
        <f aca="false">IF(ISNUMBER(J74),ROUND(J74,0),"")</f>
        <v>99</v>
      </c>
      <c r="X74" s="8" t="n">
        <f aca="false">IF(ISNUMBER(N74),ROUND(N74,0),"")</f>
        <v>99</v>
      </c>
      <c r="Y74" s="4" t="str">
        <f aca="false">IF(AND($A74=$A75,V74=100,V75=100),"full access","")</f>
        <v/>
      </c>
      <c r="Z74" s="4" t="str">
        <f aca="false">IF(AND($A74=$A75,W74=100,W75=100),"full access","")</f>
        <v/>
      </c>
      <c r="AA74" s="4" t="str">
        <f aca="false">IF(AND($A74=$A75,X74=100,X75=100),"full access","")</f>
        <v/>
      </c>
      <c r="AB74" s="9" t="n">
        <f aca="false">IF(AND(ISNUMBER(T74),ISNUMBER(U74)),T74-U74,"")</f>
        <v>0.0621004020000015</v>
      </c>
    </row>
    <row r="75" customFormat="false" ht="15" hidden="false" customHeight="false" outlineLevel="0" collapsed="false">
      <c r="A75" s="4" t="s">
        <v>119</v>
      </c>
      <c r="B75" s="4" t="str">
        <f aca="false">IFERROR(INDEX('Region Lookup'!$B$2:$B$233,MATCH(A75,'Region Lookup'!$A$2:$A$233,0)),"Not found")</f>
        <v>North America</v>
      </c>
      <c r="C75" s="4" t="n">
        <v>2020</v>
      </c>
      <c r="D75" s="6" t="n">
        <v>37742.15625</v>
      </c>
      <c r="E75" s="7" t="n">
        <v>81.56200409</v>
      </c>
      <c r="F75" s="7" t="n">
        <v>99.22181066</v>
      </c>
      <c r="G75" s="7" t="n">
        <v>0</v>
      </c>
      <c r="H75" s="7" t="n">
        <v>0.7781893369</v>
      </c>
      <c r="I75" s="7" t="n">
        <v>0</v>
      </c>
      <c r="J75" s="7" t="n">
        <v>99.0604959</v>
      </c>
      <c r="K75" s="7" t="n">
        <v>0</v>
      </c>
      <c r="L75" s="7" t="n">
        <v>0.9395041006</v>
      </c>
      <c r="M75" s="7" t="n">
        <v>0</v>
      </c>
      <c r="N75" s="7" t="n">
        <v>99.25827766</v>
      </c>
      <c r="O75" s="7" t="n">
        <v>0</v>
      </c>
      <c r="P75" s="7" t="n">
        <v>0.7417223371</v>
      </c>
      <c r="Q75" s="7" t="n">
        <v>0</v>
      </c>
      <c r="R75" s="8" t="str">
        <f aca="false">IF($A75=$A76,$C76-$C75,"")</f>
        <v/>
      </c>
      <c r="S75" s="9" t="str">
        <f aca="false">IF(AND($A75=$A76,ISNUMBER(F75),ISNUMBER(F76)),(F76-F75)/($C76-$C75),"")</f>
        <v/>
      </c>
      <c r="T75" s="9" t="str">
        <f aca="false">IF(AND($A75=$A76,ISNUMBER(J75),ISNUMBER(J76)),(J76-J75)/($C76-$C75),"")</f>
        <v/>
      </c>
      <c r="U75" s="9" t="str">
        <f aca="false">IF(AND($A75=$A76,ISNUMBER(N75),ISNUMBER(N76)),(N76-N75)/($C76-$C75),"")</f>
        <v/>
      </c>
      <c r="V75" s="8" t="n">
        <f aca="false">IF(ISNUMBER(F75),ROUND(F75,0),"")</f>
        <v>99</v>
      </c>
      <c r="W75" s="8" t="n">
        <f aca="false">IF(ISNUMBER(J75),ROUND(J75,0),"")</f>
        <v>99</v>
      </c>
      <c r="X75" s="8" t="n">
        <f aca="false">IF(ISNUMBER(N75),ROUND(N75,0),"")</f>
        <v>99</v>
      </c>
      <c r="Y75" s="4" t="str">
        <f aca="false">IF(AND($A75=$A76,V75=100,V76=100),"full access","")</f>
        <v/>
      </c>
      <c r="Z75" s="4" t="str">
        <f aca="false">IF(AND($A75=$A76,W75=100,W76=100),"full access","")</f>
        <v/>
      </c>
      <c r="AA75" s="4" t="str">
        <f aca="false">IF(AND($A75=$A76,X75=100,X76=100),"full access","")</f>
        <v/>
      </c>
      <c r="AB75" s="9" t="str">
        <f aca="false">IF(AND(ISNUMBER(T75),ISNUMBER(U75)),T75-U75,"")</f>
        <v/>
      </c>
    </row>
    <row r="76" customFormat="false" ht="15" hidden="false" customHeight="false" outlineLevel="0" collapsed="false">
      <c r="A76" s="10" t="s">
        <v>120</v>
      </c>
      <c r="B76" s="10" t="str">
        <f aca="false">IFERROR(INDEX('Region Lookup'!$B$2:$B$233,MATCH(A76,'Region Lookup'!$A$2:$A$233,0)),"Not found")</f>
        <v>Latin America &amp; Caribbean</v>
      </c>
      <c r="C76" s="10" t="n">
        <v>2015</v>
      </c>
      <c r="D76" s="11" t="n">
        <v>61.72100067</v>
      </c>
      <c r="E76" s="12" t="n">
        <v>100</v>
      </c>
      <c r="F76" s="12" t="n">
        <v>96.125</v>
      </c>
      <c r="G76" s="12" t="n">
        <v>0</v>
      </c>
      <c r="H76" s="12" t="n">
        <v>3.875</v>
      </c>
      <c r="I76" s="12" t="n">
        <v>0</v>
      </c>
      <c r="J76" s="12"/>
      <c r="K76" s="12"/>
      <c r="L76" s="12"/>
      <c r="M76" s="12"/>
      <c r="N76" s="12" t="n">
        <v>96.125</v>
      </c>
      <c r="O76" s="12" t="n">
        <v>0</v>
      </c>
      <c r="P76" s="12" t="n">
        <v>3.875</v>
      </c>
      <c r="Q76" s="12" t="n">
        <v>0</v>
      </c>
      <c r="R76" s="13" t="n">
        <f aca="false">IF($A76=$A77,$C77-$C76,"")</f>
        <v>1</v>
      </c>
      <c r="S76" s="14" t="n">
        <f aca="false">IF(AND($A76=$A77,ISNUMBER(F76),ISNUMBER(F77)),(F77-F76)/($C77-$C76),"")</f>
        <v>0</v>
      </c>
      <c r="T76" s="14" t="str">
        <f aca="false">IF(AND($A76=$A77,ISNUMBER(J76),ISNUMBER(J77)),(J77-J76)/($C77-$C76),"")</f>
        <v/>
      </c>
      <c r="U76" s="14" t="n">
        <f aca="false">IF(AND($A76=$A77,ISNUMBER(N76),ISNUMBER(N77)),(N77-N76)/($C77-$C76),"")</f>
        <v>0</v>
      </c>
      <c r="V76" s="13" t="n">
        <f aca="false">IF(ISNUMBER(F76),ROUND(F76,0),"")</f>
        <v>96</v>
      </c>
      <c r="W76" s="13" t="str">
        <f aca="false">IF(ISNUMBER(J76),ROUND(J76,0),"")</f>
        <v/>
      </c>
      <c r="X76" s="13" t="n">
        <f aca="false">IF(ISNUMBER(N76),ROUND(N76,0),"")</f>
        <v>96</v>
      </c>
      <c r="Y76" s="10" t="str">
        <f aca="false">IF(AND($A76=$A77,V76=100,V77=100),"full access","")</f>
        <v/>
      </c>
      <c r="Z76" s="10" t="str">
        <f aca="false">IF(AND($A76=$A77,W76=100,W77=100),"full access","")</f>
        <v/>
      </c>
      <c r="AA76" s="10" t="str">
        <f aca="false">IF(AND($A76=$A77,X76=100,X77=100),"full access","")</f>
        <v/>
      </c>
      <c r="AB76" s="14" t="str">
        <f aca="false">IF(AND(ISNUMBER(T76),ISNUMBER(U76)),T76-U76,"")</f>
        <v/>
      </c>
    </row>
    <row r="77" customFormat="false" ht="15" hidden="false" customHeight="false" outlineLevel="0" collapsed="false">
      <c r="A77" s="10" t="s">
        <v>120</v>
      </c>
      <c r="B77" s="10" t="str">
        <f aca="false">IFERROR(INDEX('Region Lookup'!$B$2:$B$233,MATCH(A77,'Region Lookup'!$A$2:$A$233,0)),"Not found")</f>
        <v>Latin America &amp; Caribbean</v>
      </c>
      <c r="C77" s="10" t="n">
        <v>2016</v>
      </c>
      <c r="D77" s="11" t="n">
        <v>62.56399918</v>
      </c>
      <c r="E77" s="12" t="n">
        <v>100</v>
      </c>
      <c r="F77" s="12" t="n">
        <v>96.125</v>
      </c>
      <c r="G77" s="12" t="n">
        <v>0</v>
      </c>
      <c r="H77" s="12" t="n">
        <v>3.875</v>
      </c>
      <c r="I77" s="12" t="n">
        <v>0</v>
      </c>
      <c r="J77" s="12"/>
      <c r="K77" s="12"/>
      <c r="L77" s="12"/>
      <c r="M77" s="12"/>
      <c r="N77" s="12" t="n">
        <v>96.125</v>
      </c>
      <c r="O77" s="12" t="n">
        <v>0</v>
      </c>
      <c r="P77" s="12" t="n">
        <v>3.875</v>
      </c>
      <c r="Q77" s="12" t="n">
        <v>0</v>
      </c>
      <c r="R77" s="13" t="str">
        <f aca="false">IF($A77=$A78,$C78-$C77,"")</f>
        <v/>
      </c>
      <c r="S77" s="14" t="str">
        <f aca="false">IF(AND($A77=$A78,ISNUMBER(F77),ISNUMBER(F78)),(F78-F77)/($C78-$C77),"")</f>
        <v/>
      </c>
      <c r="T77" s="14" t="str">
        <f aca="false">IF(AND($A77=$A78,ISNUMBER(J77),ISNUMBER(J78)),(J78-J77)/($C78-$C77),"")</f>
        <v/>
      </c>
      <c r="U77" s="14" t="str">
        <f aca="false">IF(AND($A77=$A78,ISNUMBER(N77),ISNUMBER(N78)),(N78-N77)/($C78-$C77),"")</f>
        <v/>
      </c>
      <c r="V77" s="13" t="n">
        <f aca="false">IF(ISNUMBER(F77),ROUND(F77,0),"")</f>
        <v>96</v>
      </c>
      <c r="W77" s="13" t="str">
        <f aca="false">IF(ISNUMBER(J77),ROUND(J77,0),"")</f>
        <v/>
      </c>
      <c r="X77" s="13" t="n">
        <f aca="false">IF(ISNUMBER(N77),ROUND(N77,0),"")</f>
        <v>96</v>
      </c>
      <c r="Y77" s="10" t="str">
        <f aca="false">IF(AND($A77=$A78,V77=100,V78=100),"full access","")</f>
        <v/>
      </c>
      <c r="Z77" s="10" t="str">
        <f aca="false">IF(AND($A77=$A78,W77=100,W78=100),"full access","")</f>
        <v/>
      </c>
      <c r="AA77" s="10" t="str">
        <f aca="false">IF(AND($A77=$A78,X77=100,X78=100),"full access","")</f>
        <v/>
      </c>
      <c r="AB77" s="14" t="str">
        <f aca="false">IF(AND(ISNUMBER(T77),ISNUMBER(U77)),T77-U77,"")</f>
        <v/>
      </c>
    </row>
    <row r="78" customFormat="false" ht="15" hidden="false" customHeight="false" outlineLevel="0" collapsed="false">
      <c r="A78" s="4" t="s">
        <v>121</v>
      </c>
      <c r="B78" s="4" t="str">
        <f aca="false">IFERROR(INDEX('Region Lookup'!$B$2:$B$233,MATCH(A78,'Region Lookup'!$A$2:$A$233,0)),"Not found")</f>
        <v>Sub-Saharan Africa</v>
      </c>
      <c r="C78" s="4" t="n">
        <v>2015</v>
      </c>
      <c r="D78" s="6" t="n">
        <v>4493.170898</v>
      </c>
      <c r="E78" s="7" t="n">
        <v>40.27700043</v>
      </c>
      <c r="F78" s="7" t="n">
        <v>42.31134542</v>
      </c>
      <c r="G78" s="7" t="n">
        <v>21.34399718</v>
      </c>
      <c r="H78" s="7" t="n">
        <v>32.01017408</v>
      </c>
      <c r="I78" s="7" t="n">
        <v>4.334483318</v>
      </c>
      <c r="J78" s="7" t="n">
        <v>31.89140779</v>
      </c>
      <c r="K78" s="7" t="n">
        <v>17.35785358</v>
      </c>
      <c r="L78" s="7" t="n">
        <v>43.70260925</v>
      </c>
      <c r="M78" s="7" t="n">
        <v>7.048129392</v>
      </c>
      <c r="N78" s="7" t="n">
        <v>57.76209901</v>
      </c>
      <c r="O78" s="7" t="n">
        <v>27.25467806</v>
      </c>
      <c r="P78" s="7" t="n">
        <v>14.67255123</v>
      </c>
      <c r="Q78" s="7" t="n">
        <v>0.310671709</v>
      </c>
      <c r="R78" s="8" t="n">
        <f aca="false">IF($A78=$A79,$C79-$C78,"")</f>
        <v>5</v>
      </c>
      <c r="S78" s="9" t="n">
        <f aca="false">IF(AND($A78=$A79,ISNUMBER(F78),ISNUMBER(F79)),(F79-F78)/($C79-$C78),"")</f>
        <v>-1.021788674</v>
      </c>
      <c r="T78" s="9" t="n">
        <f aca="false">IF(AND($A78=$A79,ISNUMBER(J78),ISNUMBER(J79)),(J79-J78)/($C79-$C78),"")</f>
        <v>-0.756962728</v>
      </c>
      <c r="U78" s="9" t="n">
        <f aca="false">IF(AND($A78=$A79,ISNUMBER(N78),ISNUMBER(N79)),(N79-N78)/($C79-$C78),"")</f>
        <v>-1.620086812</v>
      </c>
      <c r="V78" s="8" t="n">
        <f aca="false">IF(ISNUMBER(F78),ROUND(F78,0),"")</f>
        <v>42</v>
      </c>
      <c r="W78" s="8" t="n">
        <f aca="false">IF(ISNUMBER(J78),ROUND(J78,0),"")</f>
        <v>32</v>
      </c>
      <c r="X78" s="8" t="n">
        <f aca="false">IF(ISNUMBER(N78),ROUND(N78,0),"")</f>
        <v>58</v>
      </c>
      <c r="Y78" s="4" t="str">
        <f aca="false">IF(AND($A78=$A79,V78=100,V79=100),"full access","")</f>
        <v/>
      </c>
      <c r="Z78" s="4" t="str">
        <f aca="false">IF(AND($A78=$A79,W78=100,W79=100),"full access","")</f>
        <v/>
      </c>
      <c r="AA78" s="4" t="str">
        <f aca="false">IF(AND($A78=$A79,X78=100,X79=100),"full access","")</f>
        <v/>
      </c>
      <c r="AB78" s="9" t="n">
        <f aca="false">IF(AND(ISNUMBER(T78),ISNUMBER(U78)),T78-U78,"")</f>
        <v>0.863124084</v>
      </c>
    </row>
    <row r="79" customFormat="false" ht="15" hidden="false" customHeight="false" outlineLevel="0" collapsed="false">
      <c r="A79" s="4" t="s">
        <v>121</v>
      </c>
      <c r="B79" s="4" t="str">
        <f aca="false">IFERROR(INDEX('Region Lookup'!$B$2:$B$233,MATCH(A79,'Region Lookup'!$A$2:$A$233,0)),"Not found")</f>
        <v>Sub-Saharan Africa</v>
      </c>
      <c r="C79" s="4" t="n">
        <v>2020</v>
      </c>
      <c r="D79" s="6" t="n">
        <v>4829.76416</v>
      </c>
      <c r="E79" s="7" t="n">
        <v>42.19799805</v>
      </c>
      <c r="F79" s="7" t="n">
        <v>37.20240205</v>
      </c>
      <c r="G79" s="7" t="n">
        <v>25.68237348</v>
      </c>
      <c r="H79" s="7" t="n">
        <v>33.53911377</v>
      </c>
      <c r="I79" s="7" t="n">
        <v>3.576110708</v>
      </c>
      <c r="J79" s="7" t="n">
        <v>28.10659415</v>
      </c>
      <c r="K79" s="7" t="n">
        <v>19.4058899</v>
      </c>
      <c r="L79" s="7" t="n">
        <v>46.37307301</v>
      </c>
      <c r="M79" s="7" t="n">
        <v>6.114442944</v>
      </c>
      <c r="N79" s="7" t="n">
        <v>49.66166495</v>
      </c>
      <c r="O79" s="7" t="n">
        <v>34.27978009</v>
      </c>
      <c r="P79" s="7" t="n">
        <v>15.95940214</v>
      </c>
      <c r="Q79" s="7" t="n">
        <v>0.09915281712</v>
      </c>
      <c r="R79" s="8" t="str">
        <f aca="false">IF($A79=$A80,$C80-$C79,"")</f>
        <v/>
      </c>
      <c r="S79" s="9" t="str">
        <f aca="false">IF(AND($A79=$A80,ISNUMBER(F79),ISNUMBER(F80)),(F80-F79)/($C80-$C79),"")</f>
        <v/>
      </c>
      <c r="T79" s="9" t="str">
        <f aca="false">IF(AND($A79=$A80,ISNUMBER(J79),ISNUMBER(J80)),(J80-J79)/($C80-$C79),"")</f>
        <v/>
      </c>
      <c r="U79" s="9" t="str">
        <f aca="false">IF(AND($A79=$A80,ISNUMBER(N79),ISNUMBER(N80)),(N80-N79)/($C80-$C79),"")</f>
        <v/>
      </c>
      <c r="V79" s="8" t="n">
        <f aca="false">IF(ISNUMBER(F79),ROUND(F79,0),"")</f>
        <v>37</v>
      </c>
      <c r="W79" s="8" t="n">
        <f aca="false">IF(ISNUMBER(J79),ROUND(J79,0),"")</f>
        <v>28</v>
      </c>
      <c r="X79" s="8" t="n">
        <f aca="false">IF(ISNUMBER(N79),ROUND(N79,0),"")</f>
        <v>50</v>
      </c>
      <c r="Y79" s="4" t="str">
        <f aca="false">IF(AND($A79=$A80,V79=100,V80=100),"full access","")</f>
        <v/>
      </c>
      <c r="Z79" s="4" t="str">
        <f aca="false">IF(AND($A79=$A80,W79=100,W80=100),"full access","")</f>
        <v/>
      </c>
      <c r="AA79" s="4" t="str">
        <f aca="false">IF(AND($A79=$A80,X79=100,X80=100),"full access","")</f>
        <v/>
      </c>
      <c r="AB79" s="9" t="str">
        <f aca="false">IF(AND(ISNUMBER(T79),ISNUMBER(U79)),T79-U79,"")</f>
        <v/>
      </c>
    </row>
    <row r="80" customFormat="false" ht="15" hidden="false" customHeight="false" outlineLevel="0" collapsed="false">
      <c r="A80" s="10" t="s">
        <v>122</v>
      </c>
      <c r="B80" s="10" t="str">
        <f aca="false">IFERROR(INDEX('Region Lookup'!$B$2:$B$233,MATCH(A80,'Region Lookup'!$A$2:$A$233,0)),"Not found")</f>
        <v>Sub-Saharan Africa</v>
      </c>
      <c r="C80" s="10" t="n">
        <v>2015</v>
      </c>
      <c r="D80" s="11" t="n">
        <v>14110.9707</v>
      </c>
      <c r="E80" s="12" t="n">
        <v>22.5150013</v>
      </c>
      <c r="F80" s="12" t="n">
        <v>44.39909697</v>
      </c>
      <c r="G80" s="12" t="n">
        <v>13.51638311</v>
      </c>
      <c r="H80" s="12" t="n">
        <v>34.70273994</v>
      </c>
      <c r="I80" s="12" t="n">
        <v>7.381779982</v>
      </c>
      <c r="J80" s="12" t="n">
        <v>35.57890074</v>
      </c>
      <c r="K80" s="12" t="n">
        <v>13.87641398</v>
      </c>
      <c r="L80" s="12" t="n">
        <v>41.26615647</v>
      </c>
      <c r="M80" s="12" t="n">
        <v>9.278528806</v>
      </c>
      <c r="N80" s="12" t="n">
        <v>74.75365178</v>
      </c>
      <c r="O80" s="12" t="n">
        <v>12.27734182</v>
      </c>
      <c r="P80" s="12" t="n">
        <v>12.11485643</v>
      </c>
      <c r="Q80" s="12" t="n">
        <v>0.8541499715</v>
      </c>
      <c r="R80" s="13" t="n">
        <f aca="false">IF($A80=$A81,$C81-$C80,"")</f>
        <v>5</v>
      </c>
      <c r="S80" s="14" t="n">
        <f aca="false">IF(AND($A80=$A81,ISNUMBER(F80),ISNUMBER(F81)),(F81-F80)/($C81-$C80),"")</f>
        <v>0.357687564</v>
      </c>
      <c r="T80" s="14" t="n">
        <f aca="false">IF(AND($A80=$A81,ISNUMBER(J80),ISNUMBER(J81)),(J81-J80)/($C81-$C80),"")</f>
        <v>0.399262902</v>
      </c>
      <c r="U80" s="14" t="n">
        <f aca="false">IF(AND($A80=$A81,ISNUMBER(N80),ISNUMBER(N81)),(N81-N80)/($C81-$C80),"")</f>
        <v>-0.112285738</v>
      </c>
      <c r="V80" s="13" t="n">
        <f aca="false">IF(ISNUMBER(F80),ROUND(F80,0),"")</f>
        <v>44</v>
      </c>
      <c r="W80" s="13" t="n">
        <f aca="false">IF(ISNUMBER(J80),ROUND(J80,0),"")</f>
        <v>36</v>
      </c>
      <c r="X80" s="13" t="n">
        <f aca="false">IF(ISNUMBER(N80),ROUND(N80,0),"")</f>
        <v>75</v>
      </c>
      <c r="Y80" s="10" t="str">
        <f aca="false">IF(AND($A80=$A81,V80=100,V81=100),"full access","")</f>
        <v/>
      </c>
      <c r="Z80" s="10" t="str">
        <f aca="false">IF(AND($A80=$A81,W80=100,W81=100),"full access","")</f>
        <v/>
      </c>
      <c r="AA80" s="10" t="str">
        <f aca="false">IF(AND($A80=$A81,X80=100,X81=100),"full access","")</f>
        <v/>
      </c>
      <c r="AB80" s="14" t="n">
        <f aca="false">IF(AND(ISNUMBER(T80),ISNUMBER(U80)),T80-U80,"")</f>
        <v>0.511548639999999</v>
      </c>
    </row>
    <row r="81" customFormat="false" ht="15" hidden="false" customHeight="false" outlineLevel="0" collapsed="false">
      <c r="A81" s="10" t="s">
        <v>122</v>
      </c>
      <c r="B81" s="10" t="str">
        <f aca="false">IFERROR(INDEX('Region Lookup'!$B$2:$B$233,MATCH(A81,'Region Lookup'!$A$2:$A$233,0)),"Not found")</f>
        <v>Sub-Saharan Africa</v>
      </c>
      <c r="C81" s="10" t="n">
        <v>2020</v>
      </c>
      <c r="D81" s="11" t="n">
        <v>16425.85938</v>
      </c>
      <c r="E81" s="12" t="n">
        <v>23.52000046</v>
      </c>
      <c r="F81" s="12" t="n">
        <v>46.18753479</v>
      </c>
      <c r="G81" s="12" t="n">
        <v>14.74028929</v>
      </c>
      <c r="H81" s="12" t="n">
        <v>31.56245714</v>
      </c>
      <c r="I81" s="12" t="n">
        <v>7.509718784</v>
      </c>
      <c r="J81" s="12" t="n">
        <v>37.57521525</v>
      </c>
      <c r="K81" s="12" t="n">
        <v>14.35396111</v>
      </c>
      <c r="L81" s="12" t="n">
        <v>38.52496761</v>
      </c>
      <c r="M81" s="12" t="n">
        <v>9.545856027</v>
      </c>
      <c r="N81" s="12" t="n">
        <v>74.19222309</v>
      </c>
      <c r="O81" s="12" t="n">
        <v>15.99651381</v>
      </c>
      <c r="P81" s="12" t="n">
        <v>8.922452721</v>
      </c>
      <c r="Q81" s="12" t="n">
        <v>0.8888103843</v>
      </c>
      <c r="R81" s="13" t="str">
        <f aca="false">IF($A81=$A82,$C82-$C81,"")</f>
        <v/>
      </c>
      <c r="S81" s="14" t="str">
        <f aca="false">IF(AND($A81=$A82,ISNUMBER(F81),ISNUMBER(F82)),(F82-F81)/($C82-$C81),"")</f>
        <v/>
      </c>
      <c r="T81" s="14" t="str">
        <f aca="false">IF(AND($A81=$A82,ISNUMBER(J81),ISNUMBER(J82)),(J82-J81)/($C82-$C81),"")</f>
        <v/>
      </c>
      <c r="U81" s="14" t="str">
        <f aca="false">IF(AND($A81=$A82,ISNUMBER(N81),ISNUMBER(N82)),(N82-N81)/($C82-$C81),"")</f>
        <v/>
      </c>
      <c r="V81" s="13" t="n">
        <f aca="false">IF(ISNUMBER(F81),ROUND(F81,0),"")</f>
        <v>46</v>
      </c>
      <c r="W81" s="13" t="n">
        <f aca="false">IF(ISNUMBER(J81),ROUND(J81,0),"")</f>
        <v>38</v>
      </c>
      <c r="X81" s="13" t="n">
        <f aca="false">IF(ISNUMBER(N81),ROUND(N81,0),"")</f>
        <v>74</v>
      </c>
      <c r="Y81" s="10" t="str">
        <f aca="false">IF(AND($A81=$A82,V81=100,V82=100),"full access","")</f>
        <v/>
      </c>
      <c r="Z81" s="10" t="str">
        <f aca="false">IF(AND($A81=$A82,W81=100,W82=100),"full access","")</f>
        <v/>
      </c>
      <c r="AA81" s="10" t="str">
        <f aca="false">IF(AND($A81=$A82,X81=100,X82=100),"full access","")</f>
        <v/>
      </c>
      <c r="AB81" s="14" t="str">
        <f aca="false">IF(AND(ISNUMBER(T81),ISNUMBER(U81)),T81-U81,"")</f>
        <v/>
      </c>
    </row>
    <row r="82" customFormat="false" ht="15" hidden="false" customHeight="false" outlineLevel="0" collapsed="false">
      <c r="A82" s="4" t="s">
        <v>123</v>
      </c>
      <c r="B82" s="4" t="str">
        <f aca="false">IFERROR(INDEX('Region Lookup'!$B$2:$B$233,MATCH(A82,'Region Lookup'!$A$2:$A$233,0)),"Not found")</f>
        <v>Europe &amp; Central Asia</v>
      </c>
      <c r="C82" s="4" t="n">
        <v>2015</v>
      </c>
      <c r="D82" s="6" t="n">
        <v>165.3869934</v>
      </c>
      <c r="E82" s="7" t="n">
        <v>30.96199799</v>
      </c>
      <c r="F82" s="7" t="n">
        <v>94.15</v>
      </c>
      <c r="G82" s="7" t="n">
        <v>0</v>
      </c>
      <c r="H82" s="7" t="n">
        <v>5.85</v>
      </c>
      <c r="I82" s="7" t="n">
        <v>0</v>
      </c>
      <c r="J82" s="7"/>
      <c r="K82" s="7"/>
      <c r="L82" s="7"/>
      <c r="M82" s="7"/>
      <c r="N82" s="7"/>
      <c r="O82" s="7"/>
      <c r="P82" s="7"/>
      <c r="Q82" s="7"/>
      <c r="R82" s="8" t="n">
        <f aca="false">IF($A82=$A83,$C83-$C82,"")</f>
        <v>2</v>
      </c>
      <c r="S82" s="9" t="n">
        <f aca="false">IF(AND($A82=$A83,ISNUMBER(F82),ISNUMBER(F83)),(F83-F82)/($C83-$C82),"")</f>
        <v>0</v>
      </c>
      <c r="T82" s="9" t="str">
        <f aca="false">IF(AND($A82=$A83,ISNUMBER(J82),ISNUMBER(J83)),(J83-J82)/($C83-$C82),"")</f>
        <v/>
      </c>
      <c r="U82" s="9" t="str">
        <f aca="false">IF(AND($A82=$A83,ISNUMBER(N82),ISNUMBER(N83)),(N83-N82)/($C83-$C82),"")</f>
        <v/>
      </c>
      <c r="V82" s="8" t="n">
        <f aca="false">IF(ISNUMBER(F82),ROUND(F82,0),"")</f>
        <v>94</v>
      </c>
      <c r="W82" s="8" t="str">
        <f aca="false">IF(ISNUMBER(J82),ROUND(J82,0),"")</f>
        <v/>
      </c>
      <c r="X82" s="8" t="str">
        <f aca="false">IF(ISNUMBER(N82),ROUND(N82,0),"")</f>
        <v/>
      </c>
      <c r="Y82" s="4" t="str">
        <f aca="false">IF(AND($A82=$A83,V82=100,V83=100),"full access","")</f>
        <v/>
      </c>
      <c r="Z82" s="4" t="str">
        <f aca="false">IF(AND($A82=$A83,W82=100,W83=100),"full access","")</f>
        <v/>
      </c>
      <c r="AA82" s="4" t="str">
        <f aca="false">IF(AND($A82=$A83,X82=100,X83=100),"full access","")</f>
        <v/>
      </c>
      <c r="AB82" s="9" t="str">
        <f aca="false">IF(AND(ISNUMBER(T82),ISNUMBER(U82)),T82-U82,"")</f>
        <v/>
      </c>
    </row>
    <row r="83" customFormat="false" ht="15" hidden="false" customHeight="false" outlineLevel="0" collapsed="false">
      <c r="A83" s="4" t="s">
        <v>123</v>
      </c>
      <c r="B83" s="4" t="str">
        <f aca="false">IFERROR(INDEX('Region Lookup'!$B$2:$B$233,MATCH(A83,'Region Lookup'!$A$2:$A$233,0)),"Not found")</f>
        <v>Europe &amp; Central Asia</v>
      </c>
      <c r="C83" s="4" t="n">
        <v>2017</v>
      </c>
      <c r="D83" s="6" t="n">
        <v>168.6660004</v>
      </c>
      <c r="E83" s="7" t="n">
        <v>30.91399956</v>
      </c>
      <c r="F83" s="7" t="n">
        <v>94.15</v>
      </c>
      <c r="G83" s="7" t="n">
        <v>0</v>
      </c>
      <c r="H83" s="7" t="n">
        <v>5.85</v>
      </c>
      <c r="I83" s="7" t="n">
        <v>0</v>
      </c>
      <c r="J83" s="7"/>
      <c r="K83" s="7"/>
      <c r="L83" s="7"/>
      <c r="M83" s="7"/>
      <c r="N83" s="7"/>
      <c r="O83" s="7"/>
      <c r="P83" s="7"/>
      <c r="Q83" s="7"/>
      <c r="R83" s="8" t="str">
        <f aca="false">IF($A83=$A84,$C84-$C83,"")</f>
        <v/>
      </c>
      <c r="S83" s="9" t="str">
        <f aca="false">IF(AND($A83=$A84,ISNUMBER(F83),ISNUMBER(F84)),(F84-F83)/($C84-$C83),"")</f>
        <v/>
      </c>
      <c r="T83" s="9" t="str">
        <f aca="false">IF(AND($A83=$A84,ISNUMBER(J83),ISNUMBER(J84)),(J84-J83)/($C84-$C83),"")</f>
        <v/>
      </c>
      <c r="U83" s="9" t="str">
        <f aca="false">IF(AND($A83=$A84,ISNUMBER(N83),ISNUMBER(N84)),(N84-N83)/($C84-$C83),"")</f>
        <v/>
      </c>
      <c r="V83" s="8" t="n">
        <f aca="false">IF(ISNUMBER(F83),ROUND(F83,0),"")</f>
        <v>94</v>
      </c>
      <c r="W83" s="8" t="str">
        <f aca="false">IF(ISNUMBER(J83),ROUND(J83,0),"")</f>
        <v/>
      </c>
      <c r="X83" s="8" t="str">
        <f aca="false">IF(ISNUMBER(N83),ROUND(N83,0),"")</f>
        <v/>
      </c>
      <c r="Y83" s="4" t="str">
        <f aca="false">IF(AND($A83=$A84,V83=100,V84=100),"full access","")</f>
        <v/>
      </c>
      <c r="Z83" s="4" t="str">
        <f aca="false">IF(AND($A83=$A84,W83=100,W84=100),"full access","")</f>
        <v/>
      </c>
      <c r="AA83" s="4" t="str">
        <f aca="false">IF(AND($A83=$A84,X83=100,X84=100),"full access","")</f>
        <v/>
      </c>
      <c r="AB83" s="9" t="str">
        <f aca="false">IF(AND(ISNUMBER(T83),ISNUMBER(U83)),T83-U83,"")</f>
        <v/>
      </c>
    </row>
    <row r="84" customFormat="false" ht="15" hidden="false" customHeight="false" outlineLevel="0" collapsed="false">
      <c r="A84" s="10" t="s">
        <v>124</v>
      </c>
      <c r="B84" s="10" t="str">
        <f aca="false">IFERROR(INDEX('Region Lookup'!$B$2:$B$233,MATCH(A84,'Region Lookup'!$A$2:$A$233,0)),"Not found")</f>
        <v>Latin America &amp; Caribbean</v>
      </c>
      <c r="C84" s="10" t="n">
        <v>2015</v>
      </c>
      <c r="D84" s="11" t="n">
        <v>17969.35547</v>
      </c>
      <c r="E84" s="12" t="n">
        <v>87.36000061</v>
      </c>
      <c r="F84" s="12" t="n">
        <v>99.50649272</v>
      </c>
      <c r="G84" s="12" t="n">
        <v>0</v>
      </c>
      <c r="H84" s="12" t="n">
        <v>0.4935072758</v>
      </c>
      <c r="I84" s="12" t="n">
        <v>0</v>
      </c>
      <c r="J84" s="12" t="n">
        <v>97.0676985</v>
      </c>
      <c r="K84" s="12" t="n">
        <v>0</v>
      </c>
      <c r="L84" s="12" t="n">
        <v>2.932301498</v>
      </c>
      <c r="M84" s="12" t="n">
        <v>0</v>
      </c>
      <c r="N84" s="12" t="n">
        <v>99.85935698</v>
      </c>
      <c r="O84" s="12" t="n">
        <v>0</v>
      </c>
      <c r="P84" s="12" t="n">
        <v>0.1406430186</v>
      </c>
      <c r="Q84" s="12" t="n">
        <v>0</v>
      </c>
      <c r="R84" s="13" t="n">
        <f aca="false">IF($A84=$A85,$C85-$C84,"")</f>
        <v>5</v>
      </c>
      <c r="S84" s="14" t="n">
        <f aca="false">IF(AND($A84=$A85,ISNUMBER(F84),ISNUMBER(F85)),(F85-F84)/($C85-$C84),"")</f>
        <v>0.0987011999999993</v>
      </c>
      <c r="T84" s="14" t="n">
        <f aca="false">IF(AND($A84=$A85,ISNUMBER(J84),ISNUMBER(J85)),(J85-J84)/($C85-$C84),"")</f>
        <v>0.586460299999999</v>
      </c>
      <c r="U84" s="14" t="n">
        <f aca="false">IF(AND($A84=$A85,ISNUMBER(N84),ISNUMBER(N85)),(N85-N84)/($C85-$C84),"")</f>
        <v>0.0281286039999998</v>
      </c>
      <c r="V84" s="13" t="n">
        <f aca="false">IF(ISNUMBER(F84),ROUND(F84,0),"")</f>
        <v>100</v>
      </c>
      <c r="W84" s="13" t="n">
        <f aca="false">IF(ISNUMBER(J84),ROUND(J84,0),"")</f>
        <v>97</v>
      </c>
      <c r="X84" s="13" t="n">
        <f aca="false">IF(ISNUMBER(N84),ROUND(N84,0),"")</f>
        <v>100</v>
      </c>
      <c r="Y84" s="10" t="str">
        <f aca="false">IF(AND($A84=$A85,V84=100,V85=100),"full access","")</f>
        <v>full access</v>
      </c>
      <c r="Z84" s="10" t="str">
        <f aca="false">IF(AND($A84=$A85,W84=100,W85=100),"full access","")</f>
        <v/>
      </c>
      <c r="AA84" s="10" t="str">
        <f aca="false">IF(AND($A84=$A85,X84=100,X85=100),"full access","")</f>
        <v>full access</v>
      </c>
      <c r="AB84" s="14" t="n">
        <f aca="false">IF(AND(ISNUMBER(T84),ISNUMBER(U84)),T84-U84,"")</f>
        <v>0.558331695999999</v>
      </c>
    </row>
    <row r="85" customFormat="false" ht="15" hidden="false" customHeight="false" outlineLevel="0" collapsed="false">
      <c r="A85" s="10" t="s">
        <v>124</v>
      </c>
      <c r="B85" s="10" t="str">
        <f aca="false">IFERROR(INDEX('Region Lookup'!$B$2:$B$233,MATCH(A85,'Region Lookup'!$A$2:$A$233,0)),"Not found")</f>
        <v>Latin America &amp; Caribbean</v>
      </c>
      <c r="C85" s="10" t="n">
        <v>2020</v>
      </c>
      <c r="D85" s="11" t="n">
        <v>19116.20898</v>
      </c>
      <c r="E85" s="12" t="n">
        <v>87.72699738</v>
      </c>
      <c r="F85" s="12" t="n">
        <v>99.99999872</v>
      </c>
      <c r="G85" s="12" t="n">
        <v>0</v>
      </c>
      <c r="H85" s="12" t="n">
        <v>1.277139333E-006</v>
      </c>
      <c r="I85" s="12" t="n">
        <v>0</v>
      </c>
      <c r="J85" s="12" t="n">
        <v>100</v>
      </c>
      <c r="K85" s="12" t="n">
        <v>0</v>
      </c>
      <c r="L85" s="12" t="n">
        <v>0</v>
      </c>
      <c r="M85" s="12" t="n">
        <v>0</v>
      </c>
      <c r="N85" s="12" t="n">
        <v>100</v>
      </c>
      <c r="O85" s="12" t="n">
        <v>0</v>
      </c>
      <c r="P85" s="12" t="n">
        <v>0</v>
      </c>
      <c r="Q85" s="12" t="n">
        <v>0</v>
      </c>
      <c r="R85" s="13" t="str">
        <f aca="false">IF($A85=$A86,$C86-$C85,"")</f>
        <v/>
      </c>
      <c r="S85" s="14" t="str">
        <f aca="false">IF(AND($A85=$A86,ISNUMBER(F85),ISNUMBER(F86)),(F86-F85)/($C86-$C85),"")</f>
        <v/>
      </c>
      <c r="T85" s="14" t="str">
        <f aca="false">IF(AND($A85=$A86,ISNUMBER(J85),ISNUMBER(J86)),(J86-J85)/($C86-$C85),"")</f>
        <v/>
      </c>
      <c r="U85" s="14" t="str">
        <f aca="false">IF(AND($A85=$A86,ISNUMBER(N85),ISNUMBER(N86)),(N86-N85)/($C86-$C85),"")</f>
        <v/>
      </c>
      <c r="V85" s="13" t="n">
        <f aca="false">IF(ISNUMBER(F85),ROUND(F85,0),"")</f>
        <v>100</v>
      </c>
      <c r="W85" s="13" t="n">
        <f aca="false">IF(ISNUMBER(J85),ROUND(J85,0),"")</f>
        <v>100</v>
      </c>
      <c r="X85" s="13" t="n">
        <f aca="false">IF(ISNUMBER(N85),ROUND(N85,0),"")</f>
        <v>100</v>
      </c>
      <c r="Y85" s="10" t="str">
        <f aca="false">IF(AND($A85=$A86,V85=100,V86=100),"full access","")</f>
        <v/>
      </c>
      <c r="Z85" s="10" t="str">
        <f aca="false">IF(AND($A85=$A86,W85=100,W86=100),"full access","")</f>
        <v/>
      </c>
      <c r="AA85" s="10" t="str">
        <f aca="false">IF(AND($A85=$A86,X85=100,X86=100),"full access","")</f>
        <v/>
      </c>
      <c r="AB85" s="14" t="str">
        <f aca="false">IF(AND(ISNUMBER(T85),ISNUMBER(U85)),T85-U85,"")</f>
        <v/>
      </c>
    </row>
    <row r="86" customFormat="false" ht="15" hidden="false" customHeight="false" outlineLevel="0" collapsed="false">
      <c r="A86" s="4" t="s">
        <v>125</v>
      </c>
      <c r="B86" s="4" t="str">
        <f aca="false">IFERROR(INDEX('Region Lookup'!$B$2:$B$233,MATCH(A86,'Region Lookup'!$A$2:$A$233,0)),"Not found")</f>
        <v>East Asia &amp; Pacific</v>
      </c>
      <c r="C86" s="4" t="n">
        <v>2015</v>
      </c>
      <c r="D86" s="6" t="n">
        <v>1430405.375</v>
      </c>
      <c r="E86" s="7" t="n">
        <v>55.85270691</v>
      </c>
      <c r="F86" s="7" t="n">
        <v>91.76264123</v>
      </c>
      <c r="G86" s="7" t="n">
        <v>0.8187626618</v>
      </c>
      <c r="H86" s="7" t="n">
        <v>6.782077407</v>
      </c>
      <c r="I86" s="7" t="n">
        <v>0.6365187008</v>
      </c>
      <c r="J86" s="7" t="n">
        <v>84.47918792</v>
      </c>
      <c r="K86" s="7" t="n">
        <v>1.51186307</v>
      </c>
      <c r="L86" s="7" t="n">
        <v>12.95294901</v>
      </c>
      <c r="M86" s="7" t="n">
        <v>1.056</v>
      </c>
      <c r="N86" s="7" t="n">
        <v>97.51965397</v>
      </c>
      <c r="O86" s="7" t="n">
        <v>0.2709198039</v>
      </c>
      <c r="P86" s="7" t="n">
        <v>1.90447541</v>
      </c>
      <c r="Q86" s="7" t="n">
        <v>0.3049508197</v>
      </c>
      <c r="R86" s="8" t="n">
        <f aca="false">IF($A86=$A87,$C87-$C86,"")</f>
        <v>5</v>
      </c>
      <c r="S86" s="9" t="n">
        <f aca="false">IF(AND($A86=$A87,ISNUMBER(F86),ISNUMBER(F87)),(F87-F86)/($C87-$C86),"")</f>
        <v>0.499693872</v>
      </c>
      <c r="T86" s="9" t="n">
        <f aca="false">IF(AND($A86=$A87,ISNUMBER(J86),ISNUMBER(J87)),(J87-J86)/($C87-$C86),"")</f>
        <v>1.036409118</v>
      </c>
      <c r="U86" s="9" t="n">
        <f aca="false">IF(AND($A86=$A87,ISNUMBER(N86),ISNUMBER(N87)),(N87-N86)/($C87-$C86),"")</f>
        <v>-0.0809542599999986</v>
      </c>
      <c r="V86" s="8" t="n">
        <f aca="false">IF(ISNUMBER(F86),ROUND(F86,0),"")</f>
        <v>92</v>
      </c>
      <c r="W86" s="8" t="n">
        <f aca="false">IF(ISNUMBER(J86),ROUND(J86,0),"")</f>
        <v>84</v>
      </c>
      <c r="X86" s="8" t="n">
        <f aca="false">IF(ISNUMBER(N86),ROUND(N86,0),"")</f>
        <v>98</v>
      </c>
      <c r="Y86" s="4" t="str">
        <f aca="false">IF(AND($A86=$A87,V86=100,V87=100),"full access","")</f>
        <v/>
      </c>
      <c r="Z86" s="4" t="str">
        <f aca="false">IF(AND($A86=$A87,W86=100,W87=100),"full access","")</f>
        <v/>
      </c>
      <c r="AA86" s="4" t="str">
        <f aca="false">IF(AND($A86=$A87,X86=100,X87=100),"full access","")</f>
        <v/>
      </c>
      <c r="AB86" s="9" t="n">
        <f aca="false">IF(AND(ISNUMBER(T86),ISNUMBER(U86)),T86-U86,"")</f>
        <v>1.117363378</v>
      </c>
    </row>
    <row r="87" customFormat="false" ht="15" hidden="false" customHeight="false" outlineLevel="0" collapsed="false">
      <c r="A87" s="4" t="s">
        <v>125</v>
      </c>
      <c r="B87" s="4" t="str">
        <f aca="false">IFERROR(INDEX('Region Lookup'!$B$2:$B$233,MATCH(A87,'Region Lookup'!$A$2:$A$233,0)),"Not found")</f>
        <v>East Asia &amp; Pacific</v>
      </c>
      <c r="C87" s="4" t="n">
        <v>2020</v>
      </c>
      <c r="D87" s="6" t="n">
        <v>1463140.5</v>
      </c>
      <c r="E87" s="7" t="n">
        <v>61.71308899</v>
      </c>
      <c r="F87" s="7" t="n">
        <v>94.26111059</v>
      </c>
      <c r="G87" s="7" t="n">
        <v>0.8147213297</v>
      </c>
      <c r="H87" s="7" t="n">
        <v>4.725451938</v>
      </c>
      <c r="I87" s="7" t="n">
        <v>0.1987161441</v>
      </c>
      <c r="J87" s="7" t="n">
        <v>89.66123351</v>
      </c>
      <c r="K87" s="7" t="n">
        <v>1.832679086</v>
      </c>
      <c r="L87" s="7" t="n">
        <v>8.506087409</v>
      </c>
      <c r="M87" s="7" t="n">
        <v>0</v>
      </c>
      <c r="N87" s="7" t="n">
        <v>97.11488267</v>
      </c>
      <c r="O87" s="7" t="n">
        <v>0.1831784927</v>
      </c>
      <c r="P87" s="7" t="n">
        <v>2.37993884</v>
      </c>
      <c r="Q87" s="7" t="n">
        <v>0.322</v>
      </c>
      <c r="R87" s="8" t="str">
        <f aca="false">IF($A87=$A88,$C88-$C87,"")</f>
        <v/>
      </c>
      <c r="S87" s="9" t="str">
        <f aca="false">IF(AND($A87=$A88,ISNUMBER(F87),ISNUMBER(F88)),(F88-F87)/($C88-$C87),"")</f>
        <v/>
      </c>
      <c r="T87" s="9" t="str">
        <f aca="false">IF(AND($A87=$A88,ISNUMBER(J87),ISNUMBER(J88)),(J88-J87)/($C88-$C87),"")</f>
        <v/>
      </c>
      <c r="U87" s="9" t="str">
        <f aca="false">IF(AND($A87=$A88,ISNUMBER(N87),ISNUMBER(N88)),(N88-N87)/($C88-$C87),"")</f>
        <v/>
      </c>
      <c r="V87" s="8" t="n">
        <f aca="false">IF(ISNUMBER(F87),ROUND(F87,0),"")</f>
        <v>94</v>
      </c>
      <c r="W87" s="8" t="n">
        <f aca="false">IF(ISNUMBER(J87),ROUND(J87,0),"")</f>
        <v>90</v>
      </c>
      <c r="X87" s="8" t="n">
        <f aca="false">IF(ISNUMBER(N87),ROUND(N87,0),"")</f>
        <v>97</v>
      </c>
      <c r="Y87" s="4" t="str">
        <f aca="false">IF(AND($A87=$A88,V87=100,V88=100),"full access","")</f>
        <v/>
      </c>
      <c r="Z87" s="4" t="str">
        <f aca="false">IF(AND($A87=$A88,W87=100,W88=100),"full access","")</f>
        <v/>
      </c>
      <c r="AA87" s="4" t="str">
        <f aca="false">IF(AND($A87=$A88,X87=100,X88=100),"full access","")</f>
        <v/>
      </c>
      <c r="AB87" s="9" t="str">
        <f aca="false">IF(AND(ISNUMBER(T87),ISNUMBER(U87)),T87-U87,"")</f>
        <v/>
      </c>
    </row>
    <row r="88" customFormat="false" ht="15" hidden="false" customHeight="false" outlineLevel="0" collapsed="false">
      <c r="A88" s="10" t="s">
        <v>126</v>
      </c>
      <c r="B88" s="10" t="str">
        <f aca="false">IFERROR(INDEX('Region Lookup'!$B$2:$B$233,MATCH(A88,'Region Lookup'!$A$2:$A$233,0)),"Not found")</f>
        <v>East Asia &amp; Pacific</v>
      </c>
      <c r="C88" s="10" t="n">
        <v>2015</v>
      </c>
      <c r="D88" s="11" t="n">
        <v>7185.992188</v>
      </c>
      <c r="E88" s="12" t="n">
        <v>100</v>
      </c>
      <c r="F88" s="12" t="n">
        <v>100</v>
      </c>
      <c r="G88" s="12" t="n">
        <v>0</v>
      </c>
      <c r="H88" s="12" t="n">
        <v>0</v>
      </c>
      <c r="I88" s="12" t="n">
        <v>0</v>
      </c>
      <c r="J88" s="12"/>
      <c r="K88" s="12"/>
      <c r="L88" s="12"/>
      <c r="M88" s="12"/>
      <c r="N88" s="12" t="n">
        <v>100</v>
      </c>
      <c r="O88" s="12" t="n">
        <v>0</v>
      </c>
      <c r="P88" s="12" t="n">
        <v>0</v>
      </c>
      <c r="Q88" s="12" t="n">
        <v>0</v>
      </c>
      <c r="R88" s="13" t="n">
        <f aca="false">IF($A88=$A89,$C89-$C88,"")</f>
        <v>5</v>
      </c>
      <c r="S88" s="14" t="n">
        <f aca="false">IF(AND($A88=$A89,ISNUMBER(F88),ISNUMBER(F89)),(F89-F88)/($C89-$C88),"")</f>
        <v>0</v>
      </c>
      <c r="T88" s="14" t="str">
        <f aca="false">IF(AND($A88=$A89,ISNUMBER(J88),ISNUMBER(J89)),(J89-J88)/($C89-$C88),"")</f>
        <v/>
      </c>
      <c r="U88" s="14" t="n">
        <f aca="false">IF(AND($A88=$A89,ISNUMBER(N88),ISNUMBER(N89)),(N89-N88)/($C89-$C88),"")</f>
        <v>0</v>
      </c>
      <c r="V88" s="13" t="n">
        <f aca="false">IF(ISNUMBER(F88),ROUND(F88,0),"")</f>
        <v>100</v>
      </c>
      <c r="W88" s="13" t="str">
        <f aca="false">IF(ISNUMBER(J88),ROUND(J88,0),"")</f>
        <v/>
      </c>
      <c r="X88" s="13" t="n">
        <f aca="false">IF(ISNUMBER(N88),ROUND(N88,0),"")</f>
        <v>100</v>
      </c>
      <c r="Y88" s="10" t="str">
        <f aca="false">IF(AND($A88=$A89,V88=100,V89=100),"full access","")</f>
        <v>full access</v>
      </c>
      <c r="Z88" s="10" t="str">
        <f aca="false">IF(AND($A88=$A89,W88=100,W89=100),"full access","")</f>
        <v/>
      </c>
      <c r="AA88" s="10" t="str">
        <f aca="false">IF(AND($A88=$A89,X88=100,X89=100),"full access","")</f>
        <v>full access</v>
      </c>
      <c r="AB88" s="14" t="str">
        <f aca="false">IF(AND(ISNUMBER(T88),ISNUMBER(U88)),T88-U88,"")</f>
        <v/>
      </c>
    </row>
    <row r="89" customFormat="false" ht="15" hidden="false" customHeight="false" outlineLevel="0" collapsed="false">
      <c r="A89" s="10" t="s">
        <v>126</v>
      </c>
      <c r="B89" s="10" t="str">
        <f aca="false">IFERROR(INDEX('Region Lookup'!$B$2:$B$233,MATCH(A89,'Region Lookup'!$A$2:$A$233,0)),"Not found")</f>
        <v>East Asia &amp; Pacific</v>
      </c>
      <c r="C89" s="10" t="n">
        <v>2020</v>
      </c>
      <c r="D89" s="11" t="n">
        <v>7496.987793</v>
      </c>
      <c r="E89" s="12" t="n">
        <v>100</v>
      </c>
      <c r="F89" s="12" t="n">
        <v>100</v>
      </c>
      <c r="G89" s="12" t="n">
        <v>0</v>
      </c>
      <c r="H89" s="12" t="n">
        <v>0</v>
      </c>
      <c r="I89" s="12" t="n">
        <v>0</v>
      </c>
      <c r="J89" s="12"/>
      <c r="K89" s="12"/>
      <c r="L89" s="12"/>
      <c r="M89" s="12"/>
      <c r="N89" s="12" t="n">
        <v>100</v>
      </c>
      <c r="O89" s="12" t="n">
        <v>0</v>
      </c>
      <c r="P89" s="12" t="n">
        <v>0</v>
      </c>
      <c r="Q89" s="12" t="n">
        <v>0</v>
      </c>
      <c r="R89" s="13" t="str">
        <f aca="false">IF($A89=$A90,$C90-$C89,"")</f>
        <v/>
      </c>
      <c r="S89" s="14" t="str">
        <f aca="false">IF(AND($A89=$A90,ISNUMBER(F89),ISNUMBER(F90)),(F90-F89)/($C90-$C89),"")</f>
        <v/>
      </c>
      <c r="T89" s="14" t="str">
        <f aca="false">IF(AND($A89=$A90,ISNUMBER(J89),ISNUMBER(J90)),(J90-J89)/($C90-$C89),"")</f>
        <v/>
      </c>
      <c r="U89" s="14" t="str">
        <f aca="false">IF(AND($A89=$A90,ISNUMBER(N89),ISNUMBER(N90)),(N90-N89)/($C90-$C89),"")</f>
        <v/>
      </c>
      <c r="V89" s="13" t="n">
        <f aca="false">IF(ISNUMBER(F89),ROUND(F89,0),"")</f>
        <v>100</v>
      </c>
      <c r="W89" s="13" t="str">
        <f aca="false">IF(ISNUMBER(J89),ROUND(J89,0),"")</f>
        <v/>
      </c>
      <c r="X89" s="13" t="n">
        <f aca="false">IF(ISNUMBER(N89),ROUND(N89,0),"")</f>
        <v>100</v>
      </c>
      <c r="Y89" s="10" t="str">
        <f aca="false">IF(AND($A89=$A90,V89=100,V90=100),"full access","")</f>
        <v/>
      </c>
      <c r="Z89" s="10" t="str">
        <f aca="false">IF(AND($A89=$A90,W89=100,W90=100),"full access","")</f>
        <v/>
      </c>
      <c r="AA89" s="10" t="str">
        <f aca="false">IF(AND($A89=$A90,X89=100,X90=100),"full access","")</f>
        <v/>
      </c>
      <c r="AB89" s="14" t="str">
        <f aca="false">IF(AND(ISNUMBER(T89),ISNUMBER(U89)),T89-U89,"")</f>
        <v/>
      </c>
    </row>
    <row r="90" customFormat="false" ht="15" hidden="false" customHeight="false" outlineLevel="0" collapsed="false">
      <c r="A90" s="4" t="s">
        <v>127</v>
      </c>
      <c r="B90" s="4" t="str">
        <f aca="false">IFERROR(INDEX('Region Lookup'!$B$2:$B$233,MATCH(A90,'Region Lookup'!$A$2:$A$233,0)),"Not found")</f>
        <v>East Asia &amp; Pacific</v>
      </c>
      <c r="C90" s="4" t="n">
        <v>2015</v>
      </c>
      <c r="D90" s="6" t="n">
        <v>602.0930176</v>
      </c>
      <c r="E90" s="7" t="n">
        <v>100</v>
      </c>
      <c r="F90" s="7" t="n">
        <v>100</v>
      </c>
      <c r="G90" s="7" t="n">
        <v>0</v>
      </c>
      <c r="H90" s="7" t="n">
        <v>0</v>
      </c>
      <c r="I90" s="7" t="n">
        <v>0</v>
      </c>
      <c r="J90" s="7"/>
      <c r="K90" s="7"/>
      <c r="L90" s="7"/>
      <c r="M90" s="7"/>
      <c r="N90" s="7" t="n">
        <v>100</v>
      </c>
      <c r="O90" s="7" t="n">
        <v>0</v>
      </c>
      <c r="P90" s="7" t="n">
        <v>0</v>
      </c>
      <c r="Q90" s="7" t="n">
        <v>0</v>
      </c>
      <c r="R90" s="8" t="n">
        <f aca="false">IF($A90=$A91,$C91-$C90,"")</f>
        <v>5</v>
      </c>
      <c r="S90" s="9" t="n">
        <f aca="false">IF(AND($A90=$A91,ISNUMBER(F90),ISNUMBER(F91)),(F91-F90)/($C91-$C90),"")</f>
        <v>0</v>
      </c>
      <c r="T90" s="9" t="str">
        <f aca="false">IF(AND($A90=$A91,ISNUMBER(J90),ISNUMBER(J91)),(J91-J90)/($C91-$C90),"")</f>
        <v/>
      </c>
      <c r="U90" s="9" t="n">
        <f aca="false">IF(AND($A90=$A91,ISNUMBER(N90),ISNUMBER(N91)),(N91-N90)/($C91-$C90),"")</f>
        <v>0</v>
      </c>
      <c r="V90" s="8" t="n">
        <f aca="false">IF(ISNUMBER(F90),ROUND(F90,0),"")</f>
        <v>100</v>
      </c>
      <c r="W90" s="8" t="str">
        <f aca="false">IF(ISNUMBER(J90),ROUND(J90,0),"")</f>
        <v/>
      </c>
      <c r="X90" s="8" t="n">
        <f aca="false">IF(ISNUMBER(N90),ROUND(N90,0),"")</f>
        <v>100</v>
      </c>
      <c r="Y90" s="4" t="str">
        <f aca="false">IF(AND($A90=$A91,V90=100,V91=100),"full access","")</f>
        <v>full access</v>
      </c>
      <c r="Z90" s="4" t="str">
        <f aca="false">IF(AND($A90=$A91,W90=100,W91=100),"full access","")</f>
        <v/>
      </c>
      <c r="AA90" s="4" t="str">
        <f aca="false">IF(AND($A90=$A91,X90=100,X91=100),"full access","")</f>
        <v>full access</v>
      </c>
      <c r="AB90" s="9" t="str">
        <f aca="false">IF(AND(ISNUMBER(T90),ISNUMBER(U90)),T90-U90,"")</f>
        <v/>
      </c>
    </row>
    <row r="91" customFormat="false" ht="15" hidden="false" customHeight="false" outlineLevel="0" collapsed="false">
      <c r="A91" s="4" t="s">
        <v>127</v>
      </c>
      <c r="B91" s="4" t="str">
        <f aca="false">IFERROR(INDEX('Region Lookup'!$B$2:$B$233,MATCH(A91,'Region Lookup'!$A$2:$A$233,0)),"Not found")</f>
        <v>East Asia &amp; Pacific</v>
      </c>
      <c r="C91" s="4" t="n">
        <v>2020</v>
      </c>
      <c r="D91" s="6" t="n">
        <v>649.34198</v>
      </c>
      <c r="E91" s="7" t="n">
        <v>100</v>
      </c>
      <c r="F91" s="7" t="n">
        <v>100</v>
      </c>
      <c r="G91" s="7" t="n">
        <v>0</v>
      </c>
      <c r="H91" s="7" t="n">
        <v>0</v>
      </c>
      <c r="I91" s="7" t="n">
        <v>0</v>
      </c>
      <c r="J91" s="7"/>
      <c r="K91" s="7"/>
      <c r="L91" s="7"/>
      <c r="M91" s="7"/>
      <c r="N91" s="7" t="n">
        <v>100</v>
      </c>
      <c r="O91" s="7" t="n">
        <v>0</v>
      </c>
      <c r="P91" s="7" t="n">
        <v>0</v>
      </c>
      <c r="Q91" s="7" t="n">
        <v>0</v>
      </c>
      <c r="R91" s="8" t="str">
        <f aca="false">IF($A91=$A92,$C92-$C91,"")</f>
        <v/>
      </c>
      <c r="S91" s="9" t="str">
        <f aca="false">IF(AND($A91=$A92,ISNUMBER(F91),ISNUMBER(F92)),(F92-F91)/($C92-$C91),"")</f>
        <v/>
      </c>
      <c r="T91" s="9" t="str">
        <f aca="false">IF(AND($A91=$A92,ISNUMBER(J91),ISNUMBER(J92)),(J92-J91)/($C92-$C91),"")</f>
        <v/>
      </c>
      <c r="U91" s="9" t="str">
        <f aca="false">IF(AND($A91=$A92,ISNUMBER(N91),ISNUMBER(N92)),(N92-N91)/($C92-$C91),"")</f>
        <v/>
      </c>
      <c r="V91" s="8" t="n">
        <f aca="false">IF(ISNUMBER(F91),ROUND(F91,0),"")</f>
        <v>100</v>
      </c>
      <c r="W91" s="8" t="str">
        <f aca="false">IF(ISNUMBER(J91),ROUND(J91,0),"")</f>
        <v/>
      </c>
      <c r="X91" s="8" t="n">
        <f aca="false">IF(ISNUMBER(N91),ROUND(N91,0),"")</f>
        <v>100</v>
      </c>
      <c r="Y91" s="4" t="str">
        <f aca="false">IF(AND($A91=$A92,V91=100,V92=100),"full access","")</f>
        <v/>
      </c>
      <c r="Z91" s="4" t="str">
        <f aca="false">IF(AND($A91=$A92,W91=100,W92=100),"full access","")</f>
        <v/>
      </c>
      <c r="AA91" s="4" t="str">
        <f aca="false">IF(AND($A91=$A92,X91=100,X92=100),"full access","")</f>
        <v/>
      </c>
      <c r="AB91" s="9" t="str">
        <f aca="false">IF(AND(ISNUMBER(T91),ISNUMBER(U91)),T91-U91,"")</f>
        <v/>
      </c>
    </row>
    <row r="92" customFormat="false" ht="15" hidden="false" customHeight="false" outlineLevel="0" collapsed="false">
      <c r="A92" s="10" t="s">
        <v>128</v>
      </c>
      <c r="B92" s="10" t="str">
        <f aca="false">IFERROR(INDEX('Region Lookup'!$B$2:$B$233,MATCH(A92,'Region Lookup'!$A$2:$A$233,0)),"Not found")</f>
        <v>Latin America &amp; Caribbean</v>
      </c>
      <c r="C92" s="10" t="n">
        <v>2015</v>
      </c>
      <c r="D92" s="11" t="n">
        <v>47520.66797</v>
      </c>
      <c r="E92" s="12" t="n">
        <v>79.76399994</v>
      </c>
      <c r="F92" s="12" t="n">
        <v>96.33586812</v>
      </c>
      <c r="G92" s="12" t="n">
        <v>0.1840519904</v>
      </c>
      <c r="H92" s="12" t="n">
        <v>1.703445062</v>
      </c>
      <c r="I92" s="12" t="n">
        <v>1.776634827</v>
      </c>
      <c r="J92" s="12" t="n">
        <v>83.27372585</v>
      </c>
      <c r="K92" s="12" t="n">
        <v>0.6876656261</v>
      </c>
      <c r="L92" s="12" t="n">
        <v>7.259032355</v>
      </c>
      <c r="M92" s="12" t="n">
        <v>8.779576172</v>
      </c>
      <c r="N92" s="12" t="n">
        <v>99.64971237</v>
      </c>
      <c r="O92" s="12" t="n">
        <v>0.05628603022</v>
      </c>
      <c r="P92" s="12" t="n">
        <v>0.2940016029</v>
      </c>
      <c r="Q92" s="12" t="n">
        <v>0</v>
      </c>
      <c r="R92" s="13" t="n">
        <f aca="false">IF($A92=$A93,$C93-$C92,"")</f>
        <v>5</v>
      </c>
      <c r="S92" s="14" t="n">
        <f aca="false">IF(AND($A92=$A93,ISNUMBER(F92),ISNUMBER(F93)),(F93-F92)/($C93-$C92),"")</f>
        <v>0.231157798000001</v>
      </c>
      <c r="T92" s="14" t="n">
        <f aca="false">IF(AND($A92=$A93,ISNUMBER(J92),ISNUMBER(J93)),(J93-J92)/($C93-$C92),"")</f>
        <v>0.698669393999998</v>
      </c>
      <c r="U92" s="14" t="n">
        <f aca="false">IF(AND($A92=$A93,ISNUMBER(N92),ISNUMBER(N93)),(N93-N92)/($C93-$C92),"")</f>
        <v>0.0576960859999986</v>
      </c>
      <c r="V92" s="13" t="n">
        <f aca="false">IF(ISNUMBER(F92),ROUND(F92,0),"")</f>
        <v>96</v>
      </c>
      <c r="W92" s="13" t="n">
        <f aca="false">IF(ISNUMBER(J92),ROUND(J92,0),"")</f>
        <v>83</v>
      </c>
      <c r="X92" s="13" t="n">
        <f aca="false">IF(ISNUMBER(N92),ROUND(N92,0),"")</f>
        <v>100</v>
      </c>
      <c r="Y92" s="10" t="str">
        <f aca="false">IF(AND($A92=$A93,V92=100,V93=100),"full access","")</f>
        <v/>
      </c>
      <c r="Z92" s="10" t="str">
        <f aca="false">IF(AND($A92=$A93,W92=100,W93=100),"full access","")</f>
        <v/>
      </c>
      <c r="AA92" s="10" t="str">
        <f aca="false">IF(AND($A92=$A93,X92=100,X93=100),"full access","")</f>
        <v>full access</v>
      </c>
      <c r="AB92" s="14" t="n">
        <f aca="false">IF(AND(ISNUMBER(T92),ISNUMBER(U92)),T92-U92,"")</f>
        <v>0.640973308</v>
      </c>
    </row>
    <row r="93" customFormat="false" ht="15" hidden="false" customHeight="false" outlineLevel="0" collapsed="false">
      <c r="A93" s="10" t="s">
        <v>128</v>
      </c>
      <c r="B93" s="10" t="str">
        <f aca="false">IFERROR(INDEX('Region Lookup'!$B$2:$B$233,MATCH(A93,'Region Lookup'!$A$2:$A$233,0)),"Not found")</f>
        <v>Latin America &amp; Caribbean</v>
      </c>
      <c r="C93" s="10" t="n">
        <v>2020</v>
      </c>
      <c r="D93" s="11" t="n">
        <v>50882.88281</v>
      </c>
      <c r="E93" s="12" t="n">
        <v>81.42499542</v>
      </c>
      <c r="F93" s="12" t="n">
        <v>97.49165711</v>
      </c>
      <c r="G93" s="12" t="n">
        <v>0.1861521591</v>
      </c>
      <c r="H93" s="12" t="n">
        <v>0.9536162228</v>
      </c>
      <c r="I93" s="12" t="n">
        <v>1.368574512</v>
      </c>
      <c r="J93" s="12" t="n">
        <v>86.76707282</v>
      </c>
      <c r="K93" s="12" t="n">
        <v>0.7312282016</v>
      </c>
      <c r="L93" s="12" t="n">
        <v>5.13386897</v>
      </c>
      <c r="M93" s="12" t="n">
        <v>7.367830005</v>
      </c>
      <c r="N93" s="12" t="n">
        <v>99.9381928</v>
      </c>
      <c r="O93" s="12" t="n">
        <v>0.0618072</v>
      </c>
      <c r="P93" s="12" t="n">
        <v>0</v>
      </c>
      <c r="Q93" s="12" t="n">
        <v>0</v>
      </c>
      <c r="R93" s="13" t="str">
        <f aca="false">IF($A93=$A94,$C94-$C93,"")</f>
        <v/>
      </c>
      <c r="S93" s="14" t="str">
        <f aca="false">IF(AND($A93=$A94,ISNUMBER(F93),ISNUMBER(F94)),(F94-F93)/($C94-$C93),"")</f>
        <v/>
      </c>
      <c r="T93" s="14" t="str">
        <f aca="false">IF(AND($A93=$A94,ISNUMBER(J93),ISNUMBER(J94)),(J94-J93)/($C94-$C93),"")</f>
        <v/>
      </c>
      <c r="U93" s="14" t="str">
        <f aca="false">IF(AND($A93=$A94,ISNUMBER(N93),ISNUMBER(N94)),(N94-N93)/($C94-$C93),"")</f>
        <v/>
      </c>
      <c r="V93" s="13" t="n">
        <f aca="false">IF(ISNUMBER(F93),ROUND(F93,0),"")</f>
        <v>97</v>
      </c>
      <c r="W93" s="13" t="n">
        <f aca="false">IF(ISNUMBER(J93),ROUND(J93,0),"")</f>
        <v>87</v>
      </c>
      <c r="X93" s="13" t="n">
        <f aca="false">IF(ISNUMBER(N93),ROUND(N93,0),"")</f>
        <v>100</v>
      </c>
      <c r="Y93" s="10" t="str">
        <f aca="false">IF(AND($A93=$A94,V93=100,V94=100),"full access","")</f>
        <v/>
      </c>
      <c r="Z93" s="10" t="str">
        <f aca="false">IF(AND($A93=$A94,W93=100,W94=100),"full access","")</f>
        <v/>
      </c>
      <c r="AA93" s="10" t="str">
        <f aca="false">IF(AND($A93=$A94,X93=100,X94=100),"full access","")</f>
        <v/>
      </c>
      <c r="AB93" s="14" t="str">
        <f aca="false">IF(AND(ISNUMBER(T93),ISNUMBER(U93)),T93-U93,"")</f>
        <v/>
      </c>
    </row>
    <row r="94" customFormat="false" ht="15" hidden="false" customHeight="false" outlineLevel="0" collapsed="false">
      <c r="A94" s="4" t="s">
        <v>129</v>
      </c>
      <c r="B94" s="4" t="str">
        <f aca="false">IFERROR(INDEX('Region Lookup'!$B$2:$B$233,MATCH(A94,'Region Lookup'!$A$2:$A$233,0)),"Not found")</f>
        <v>Sub-Saharan Africa</v>
      </c>
      <c r="C94" s="4" t="n">
        <v>2015</v>
      </c>
      <c r="D94" s="6" t="n">
        <v>777.4349976</v>
      </c>
      <c r="E94" s="7" t="n">
        <v>28.47000122</v>
      </c>
      <c r="F94" s="7" t="n">
        <v>80.13200008</v>
      </c>
      <c r="G94" s="7" t="n">
        <v>10.877265</v>
      </c>
      <c r="H94" s="7" t="n">
        <v>8.395193432</v>
      </c>
      <c r="I94" s="7" t="n">
        <v>0.5955414912</v>
      </c>
      <c r="J94" s="7" t="n">
        <v>76.91172345</v>
      </c>
      <c r="K94" s="7" t="n">
        <v>11.56864724</v>
      </c>
      <c r="L94" s="7" t="n">
        <v>10.82245445</v>
      </c>
      <c r="M94" s="7" t="n">
        <v>0.6971748583</v>
      </c>
      <c r="N94" s="7" t="n">
        <v>88.22284558</v>
      </c>
      <c r="O94" s="7" t="n">
        <v>9.140188495</v>
      </c>
      <c r="P94" s="7" t="n">
        <v>2.29677513</v>
      </c>
      <c r="Q94" s="7" t="n">
        <v>0.340190797</v>
      </c>
      <c r="R94" s="8" t="n">
        <f aca="false">IF($A94=$A95,$C95-$C94,"")</f>
        <v>4</v>
      </c>
      <c r="S94" s="9" t="n">
        <f aca="false">IF(AND($A94=$A95,ISNUMBER(F94),ISNUMBER(F95)),(F95-F94)/($C95-$C94),"")</f>
        <v>0.0196244325000023</v>
      </c>
      <c r="T94" s="9" t="n">
        <f aca="false">IF(AND($A94=$A95,ISNUMBER(J94),ISNUMBER(J95)),(J95-J94)/($C95-$C94),"")</f>
        <v>0</v>
      </c>
      <c r="U94" s="9" t="n">
        <f aca="false">IF(AND($A94=$A95,ISNUMBER(N94),ISNUMBER(N95)),(N95-N94)/($C95-$C94),"")</f>
        <v>0</v>
      </c>
      <c r="V94" s="8" t="n">
        <f aca="false">IF(ISNUMBER(F94),ROUND(F94,0),"")</f>
        <v>80</v>
      </c>
      <c r="W94" s="8" t="n">
        <f aca="false">IF(ISNUMBER(J94),ROUND(J94,0),"")</f>
        <v>77</v>
      </c>
      <c r="X94" s="8" t="n">
        <f aca="false">IF(ISNUMBER(N94),ROUND(N94,0),"")</f>
        <v>88</v>
      </c>
      <c r="Y94" s="4" t="str">
        <f aca="false">IF(AND($A94=$A95,V94=100,V95=100),"full access","")</f>
        <v/>
      </c>
      <c r="Z94" s="4" t="str">
        <f aca="false">IF(AND($A94=$A95,W94=100,W95=100),"full access","")</f>
        <v/>
      </c>
      <c r="AA94" s="4" t="str">
        <f aca="false">IF(AND($A94=$A95,X94=100,X95=100),"full access","")</f>
        <v/>
      </c>
      <c r="AB94" s="9" t="n">
        <f aca="false">IF(AND(ISNUMBER(T94),ISNUMBER(U94)),T94-U94,"")</f>
        <v>0</v>
      </c>
    </row>
    <row r="95" customFormat="false" ht="15" hidden="false" customHeight="false" outlineLevel="0" collapsed="false">
      <c r="A95" s="4" t="s">
        <v>129</v>
      </c>
      <c r="B95" s="4" t="str">
        <f aca="false">IFERROR(INDEX('Region Lookup'!$B$2:$B$233,MATCH(A95,'Region Lookup'!$A$2:$A$233,0)),"Not found")</f>
        <v>Sub-Saharan Africa</v>
      </c>
      <c r="C95" s="4" t="n">
        <v>2019</v>
      </c>
      <c r="D95" s="6" t="n">
        <v>850.8909912</v>
      </c>
      <c r="E95" s="7" t="n">
        <v>29.16400146</v>
      </c>
      <c r="F95" s="7" t="n">
        <v>80.21049781</v>
      </c>
      <c r="G95" s="7" t="n">
        <v>10.86041131</v>
      </c>
      <c r="H95" s="7" t="n">
        <v>8.929090888</v>
      </c>
      <c r="I95" s="7"/>
      <c r="J95" s="7" t="n">
        <v>76.91172345</v>
      </c>
      <c r="K95" s="7" t="n">
        <v>11.56864724</v>
      </c>
      <c r="L95" s="7" t="n">
        <v>11.51962931</v>
      </c>
      <c r="M95" s="7"/>
      <c r="N95" s="7" t="n">
        <v>88.22284558</v>
      </c>
      <c r="O95" s="7" t="n">
        <v>9.140188495</v>
      </c>
      <c r="P95" s="7" t="n">
        <v>2.29677513</v>
      </c>
      <c r="Q95" s="7" t="n">
        <v>0.340190797</v>
      </c>
      <c r="R95" s="8" t="str">
        <f aca="false">IF($A95=$A96,$C96-$C95,"")</f>
        <v/>
      </c>
      <c r="S95" s="9" t="str">
        <f aca="false">IF(AND($A95=$A96,ISNUMBER(F95),ISNUMBER(F96)),(F96-F95)/($C96-$C95),"")</f>
        <v/>
      </c>
      <c r="T95" s="9" t="str">
        <f aca="false">IF(AND($A95=$A96,ISNUMBER(J95),ISNUMBER(J96)),(J96-J95)/($C96-$C95),"")</f>
        <v/>
      </c>
      <c r="U95" s="9" t="str">
        <f aca="false">IF(AND($A95=$A96,ISNUMBER(N95),ISNUMBER(N96)),(N96-N95)/($C96-$C95),"")</f>
        <v/>
      </c>
      <c r="V95" s="8" t="n">
        <f aca="false">IF(ISNUMBER(F95),ROUND(F95,0),"")</f>
        <v>80</v>
      </c>
      <c r="W95" s="8" t="n">
        <f aca="false">IF(ISNUMBER(J95),ROUND(J95,0),"")</f>
        <v>77</v>
      </c>
      <c r="X95" s="8" t="n">
        <f aca="false">IF(ISNUMBER(N95),ROUND(N95,0),"")</f>
        <v>88</v>
      </c>
      <c r="Y95" s="4" t="str">
        <f aca="false">IF(AND($A95=$A96,V95=100,V96=100),"full access","")</f>
        <v/>
      </c>
      <c r="Z95" s="4" t="str">
        <f aca="false">IF(AND($A95=$A96,W95=100,W96=100),"full access","")</f>
        <v/>
      </c>
      <c r="AA95" s="4" t="str">
        <f aca="false">IF(AND($A95=$A96,X95=100,X96=100),"full access","")</f>
        <v/>
      </c>
      <c r="AB95" s="9" t="str">
        <f aca="false">IF(AND(ISNUMBER(T95),ISNUMBER(U95)),T95-U95,"")</f>
        <v/>
      </c>
    </row>
    <row r="96" customFormat="false" ht="15" hidden="false" customHeight="false" outlineLevel="0" collapsed="false">
      <c r="A96" s="10" t="s">
        <v>130</v>
      </c>
      <c r="B96" s="10" t="str">
        <f aca="false">IFERROR(INDEX('Region Lookup'!$B$2:$B$233,MATCH(A96,'Region Lookup'!$A$2:$A$233,0)),"Not found")</f>
        <v>Sub-Saharan Africa</v>
      </c>
      <c r="C96" s="10" t="n">
        <v>2015</v>
      </c>
      <c r="D96" s="11" t="n">
        <v>4856.092773</v>
      </c>
      <c r="E96" s="12" t="n">
        <v>65.54299927</v>
      </c>
      <c r="F96" s="12" t="n">
        <v>71.14958177</v>
      </c>
      <c r="G96" s="12" t="n">
        <v>10.51052605</v>
      </c>
      <c r="H96" s="12" t="n">
        <v>11.66204631</v>
      </c>
      <c r="I96" s="12" t="n">
        <v>6.677845876</v>
      </c>
      <c r="J96" s="12" t="n">
        <v>41.39183594</v>
      </c>
      <c r="K96" s="12" t="n">
        <v>10.73957265</v>
      </c>
      <c r="L96" s="12" t="n">
        <v>28.50184871</v>
      </c>
      <c r="M96" s="12" t="n">
        <v>19.36674269</v>
      </c>
      <c r="N96" s="12" t="n">
        <v>86.79370516</v>
      </c>
      <c r="O96" s="12" t="n">
        <v>10.390113</v>
      </c>
      <c r="P96" s="12" t="n">
        <v>2.809090742</v>
      </c>
      <c r="Q96" s="12" t="n">
        <v>0.00709109589</v>
      </c>
      <c r="R96" s="13" t="n">
        <f aca="false">IF($A96=$A97,$C97-$C96,"")</f>
        <v>5</v>
      </c>
      <c r="S96" s="14" t="n">
        <f aca="false">IF(AND($A96=$A97,ISNUMBER(F96),ISNUMBER(F97)),(F97-F96)/($C97-$C96),"")</f>
        <v>0.526985962000001</v>
      </c>
      <c r="T96" s="14" t="n">
        <f aca="false">IF(AND($A96=$A97,ISNUMBER(J96),ISNUMBER(J97)),(J97-J96)/($C97-$C96),"")</f>
        <v>0.866515448</v>
      </c>
      <c r="U96" s="14" t="n">
        <f aca="false">IF(AND($A96=$A97,ISNUMBER(N96),ISNUMBER(N97)),(N97-N96)/($C97-$C96),"")</f>
        <v>0.0599181999999985</v>
      </c>
      <c r="V96" s="13" t="n">
        <f aca="false">IF(ISNUMBER(F96),ROUND(F96,0),"")</f>
        <v>71</v>
      </c>
      <c r="W96" s="13" t="n">
        <f aca="false">IF(ISNUMBER(J96),ROUND(J96,0),"")</f>
        <v>41</v>
      </c>
      <c r="X96" s="13" t="n">
        <f aca="false">IF(ISNUMBER(N96),ROUND(N96,0),"")</f>
        <v>87</v>
      </c>
      <c r="Y96" s="10" t="str">
        <f aca="false">IF(AND($A96=$A97,V96=100,V97=100),"full access","")</f>
        <v/>
      </c>
      <c r="Z96" s="10" t="str">
        <f aca="false">IF(AND($A96=$A97,W96=100,W97=100),"full access","")</f>
        <v/>
      </c>
      <c r="AA96" s="10" t="str">
        <f aca="false">IF(AND($A96=$A97,X96=100,X97=100),"full access","")</f>
        <v/>
      </c>
      <c r="AB96" s="14" t="n">
        <f aca="false">IF(AND(ISNUMBER(T96),ISNUMBER(U96)),T96-U96,"")</f>
        <v>0.806597248000001</v>
      </c>
    </row>
    <row r="97" customFormat="false" ht="15" hidden="false" customHeight="false" outlineLevel="0" collapsed="false">
      <c r="A97" s="10" t="s">
        <v>130</v>
      </c>
      <c r="B97" s="10" t="str">
        <f aca="false">IFERROR(INDEX('Region Lookup'!$B$2:$B$233,MATCH(A97,'Region Lookup'!$A$2:$A$233,0)),"Not found")</f>
        <v>Sub-Saharan Africa</v>
      </c>
      <c r="C97" s="10" t="n">
        <v>2020</v>
      </c>
      <c r="D97" s="11" t="n">
        <v>5518.091797</v>
      </c>
      <c r="E97" s="12" t="n">
        <v>67.82900238</v>
      </c>
      <c r="F97" s="12" t="n">
        <v>73.78451158</v>
      </c>
      <c r="G97" s="12" t="n">
        <v>10.46117203</v>
      </c>
      <c r="H97" s="12" t="n">
        <v>9.559180722</v>
      </c>
      <c r="I97" s="12" t="n">
        <v>6.195135664</v>
      </c>
      <c r="J97" s="12" t="n">
        <v>45.72441318</v>
      </c>
      <c r="K97" s="12" t="n">
        <v>10.6323901</v>
      </c>
      <c r="L97" s="12" t="n">
        <v>24.40516973</v>
      </c>
      <c r="M97" s="12" t="n">
        <v>19.23802699</v>
      </c>
      <c r="N97" s="12" t="n">
        <v>87.09329616</v>
      </c>
      <c r="O97" s="12" t="n">
        <v>10.37996439</v>
      </c>
      <c r="P97" s="12" t="n">
        <v>2.517789997</v>
      </c>
      <c r="Q97" s="12" t="n">
        <v>0.008949452055</v>
      </c>
      <c r="R97" s="13" t="str">
        <f aca="false">IF($A97=$A98,$C98-$C97,"")</f>
        <v/>
      </c>
      <c r="S97" s="14" t="str">
        <f aca="false">IF(AND($A97=$A98,ISNUMBER(F97),ISNUMBER(F98)),(F98-F97)/($C98-$C97),"")</f>
        <v/>
      </c>
      <c r="T97" s="14" t="str">
        <f aca="false">IF(AND($A97=$A98,ISNUMBER(J97),ISNUMBER(J98)),(J98-J97)/($C98-$C97),"")</f>
        <v/>
      </c>
      <c r="U97" s="14" t="str">
        <f aca="false">IF(AND($A97=$A98,ISNUMBER(N97),ISNUMBER(N98)),(N98-N97)/($C98-$C97),"")</f>
        <v/>
      </c>
      <c r="V97" s="13" t="n">
        <f aca="false">IF(ISNUMBER(F97),ROUND(F97,0),"")</f>
        <v>74</v>
      </c>
      <c r="W97" s="13" t="n">
        <f aca="false">IF(ISNUMBER(J97),ROUND(J97,0),"")</f>
        <v>46</v>
      </c>
      <c r="X97" s="13" t="n">
        <f aca="false">IF(ISNUMBER(N97),ROUND(N97,0),"")</f>
        <v>87</v>
      </c>
      <c r="Y97" s="10" t="str">
        <f aca="false">IF(AND($A97=$A98,V97=100,V98=100),"full access","")</f>
        <v/>
      </c>
      <c r="Z97" s="10" t="str">
        <f aca="false">IF(AND($A97=$A98,W97=100,W98=100),"full access","")</f>
        <v/>
      </c>
      <c r="AA97" s="10" t="str">
        <f aca="false">IF(AND($A97=$A98,X97=100,X98=100),"full access","")</f>
        <v/>
      </c>
      <c r="AB97" s="14" t="str">
        <f aca="false">IF(AND(ISNUMBER(T97),ISNUMBER(U97)),T97-U97,"")</f>
        <v/>
      </c>
    </row>
    <row r="98" customFormat="false" ht="15" hidden="false" customHeight="false" outlineLevel="0" collapsed="false">
      <c r="A98" s="4" t="s">
        <v>131</v>
      </c>
      <c r="B98" s="4" t="str">
        <f aca="false">IFERROR(INDEX('Region Lookup'!$B$2:$B$233,MATCH(A98,'Region Lookup'!$A$2:$A$233,0)),"Not found")</f>
        <v>East Asia &amp; Pacific</v>
      </c>
      <c r="C98" s="4" t="n">
        <v>2015</v>
      </c>
      <c r="D98" s="6" t="n">
        <v>17.58099937</v>
      </c>
      <c r="E98" s="7" t="n">
        <v>74.40399933</v>
      </c>
      <c r="F98" s="7" t="n">
        <v>99.95367102</v>
      </c>
      <c r="G98" s="7" t="n">
        <v>0</v>
      </c>
      <c r="H98" s="7" t="n">
        <v>0.04632897629</v>
      </c>
      <c r="I98" s="7" t="n">
        <v>0</v>
      </c>
      <c r="J98" s="7"/>
      <c r="K98" s="7"/>
      <c r="L98" s="7"/>
      <c r="M98" s="7"/>
      <c r="N98" s="7"/>
      <c r="O98" s="7"/>
      <c r="P98" s="7"/>
      <c r="Q98" s="7"/>
      <c r="R98" s="8" t="n">
        <f aca="false">IF($A98=$A99,$C99-$C98,"")</f>
        <v>5</v>
      </c>
      <c r="S98" s="9" t="n">
        <f aca="false">IF(AND($A98=$A99,ISNUMBER(F98),ISNUMBER(F99)),(F99-F98)/($C99-$C98),"")</f>
        <v>0.00358784000000014</v>
      </c>
      <c r="T98" s="9" t="str">
        <f aca="false">IF(AND($A98=$A99,ISNUMBER(J98),ISNUMBER(J99)),(J99-J98)/($C99-$C98),"")</f>
        <v/>
      </c>
      <c r="U98" s="9" t="str">
        <f aca="false">IF(AND($A98=$A99,ISNUMBER(N98),ISNUMBER(N99)),(N99-N98)/($C99-$C98),"")</f>
        <v/>
      </c>
      <c r="V98" s="8" t="n">
        <f aca="false">IF(ISNUMBER(F98),ROUND(F98,0),"")</f>
        <v>100</v>
      </c>
      <c r="W98" s="8" t="str">
        <f aca="false">IF(ISNUMBER(J98),ROUND(J98,0),"")</f>
        <v/>
      </c>
      <c r="X98" s="8" t="str">
        <f aca="false">IF(ISNUMBER(N98),ROUND(N98,0),"")</f>
        <v/>
      </c>
      <c r="Y98" s="4" t="str">
        <f aca="false">IF(AND($A98=$A99,V98=100,V99=100),"full access","")</f>
        <v>full access</v>
      </c>
      <c r="Z98" s="4" t="str">
        <f aca="false">IF(AND($A98=$A99,W98=100,W99=100),"full access","")</f>
        <v/>
      </c>
      <c r="AA98" s="4" t="str">
        <f aca="false">IF(AND($A98=$A99,X98=100,X99=100),"full access","")</f>
        <v/>
      </c>
      <c r="AB98" s="9" t="str">
        <f aca="false">IF(AND(ISNUMBER(T98),ISNUMBER(U98)),T98-U98,"")</f>
        <v/>
      </c>
    </row>
    <row r="99" customFormat="false" ht="15" hidden="false" customHeight="false" outlineLevel="0" collapsed="false">
      <c r="A99" s="4" t="s">
        <v>131</v>
      </c>
      <c r="B99" s="4" t="str">
        <f aca="false">IFERROR(INDEX('Region Lookup'!$B$2:$B$233,MATCH(A99,'Region Lookup'!$A$2:$A$233,0)),"Not found")</f>
        <v>East Asia &amp; Pacific</v>
      </c>
      <c r="C99" s="4" t="n">
        <v>2020</v>
      </c>
      <c r="D99" s="6" t="n">
        <v>17.56399918</v>
      </c>
      <c r="E99" s="7" t="n">
        <v>75.49500275</v>
      </c>
      <c r="F99" s="7" t="n">
        <v>99.97161022</v>
      </c>
      <c r="G99" s="7" t="n">
        <v>0</v>
      </c>
      <c r="H99" s="7" t="n">
        <v>0.0283897827</v>
      </c>
      <c r="I99" s="7" t="n">
        <v>0</v>
      </c>
      <c r="J99" s="7"/>
      <c r="K99" s="7"/>
      <c r="L99" s="7"/>
      <c r="M99" s="7"/>
      <c r="N99" s="7"/>
      <c r="O99" s="7"/>
      <c r="P99" s="7"/>
      <c r="Q99" s="7"/>
      <c r="R99" s="8" t="str">
        <f aca="false">IF($A99=$A100,$C100-$C99,"")</f>
        <v/>
      </c>
      <c r="S99" s="9" t="str">
        <f aca="false">IF(AND($A99=$A100,ISNUMBER(F99),ISNUMBER(F100)),(F100-F99)/($C100-$C99),"")</f>
        <v/>
      </c>
      <c r="T99" s="9" t="str">
        <f aca="false">IF(AND($A99=$A100,ISNUMBER(J99),ISNUMBER(J100)),(J100-J99)/($C100-$C99),"")</f>
        <v/>
      </c>
      <c r="U99" s="9" t="str">
        <f aca="false">IF(AND($A99=$A100,ISNUMBER(N99),ISNUMBER(N100)),(N100-N99)/($C100-$C99),"")</f>
        <v/>
      </c>
      <c r="V99" s="8" t="n">
        <f aca="false">IF(ISNUMBER(F99),ROUND(F99,0),"")</f>
        <v>100</v>
      </c>
      <c r="W99" s="8" t="str">
        <f aca="false">IF(ISNUMBER(J99),ROUND(J99,0),"")</f>
        <v/>
      </c>
      <c r="X99" s="8" t="str">
        <f aca="false">IF(ISNUMBER(N99),ROUND(N99,0),"")</f>
        <v/>
      </c>
      <c r="Y99" s="4" t="str">
        <f aca="false">IF(AND($A99=$A100,V99=100,V100=100),"full access","")</f>
        <v/>
      </c>
      <c r="Z99" s="4" t="str">
        <f aca="false">IF(AND($A99=$A100,W99=100,W100=100),"full access","")</f>
        <v/>
      </c>
      <c r="AA99" s="4" t="str">
        <f aca="false">IF(AND($A99=$A100,X99=100,X100=100),"full access","")</f>
        <v/>
      </c>
      <c r="AB99" s="9" t="str">
        <f aca="false">IF(AND(ISNUMBER(T99),ISNUMBER(U99)),T99-U99,"")</f>
        <v/>
      </c>
    </row>
    <row r="100" customFormat="false" ht="15" hidden="false" customHeight="false" outlineLevel="0" collapsed="false">
      <c r="A100" s="10" t="s">
        <v>132</v>
      </c>
      <c r="B100" s="10" t="str">
        <f aca="false">IFERROR(INDEX('Region Lookup'!$B$2:$B$233,MATCH(A100,'Region Lookup'!$A$2:$A$233,0)),"Not found")</f>
        <v>Latin America &amp; Caribbean</v>
      </c>
      <c r="C100" s="10" t="n">
        <v>2015</v>
      </c>
      <c r="D100" s="11" t="n">
        <v>4847.805176</v>
      </c>
      <c r="E100" s="12" t="n">
        <v>76.86199951</v>
      </c>
      <c r="F100" s="12" t="n">
        <v>99.37868682</v>
      </c>
      <c r="G100" s="12" t="n">
        <v>0.2541303784</v>
      </c>
      <c r="H100" s="12" t="n">
        <v>0.2113350186</v>
      </c>
      <c r="I100" s="12" t="n">
        <v>0.1558477843</v>
      </c>
      <c r="J100" s="12" t="n">
        <v>98.18603249</v>
      </c>
      <c r="K100" s="12" t="n">
        <v>0.4100611535</v>
      </c>
      <c r="L100" s="12" t="n">
        <v>0.7303485768</v>
      </c>
      <c r="M100" s="12" t="n">
        <v>0.6735577778</v>
      </c>
      <c r="N100" s="12" t="n">
        <v>99.73771511</v>
      </c>
      <c r="O100" s="12" t="n">
        <v>0.2071900718</v>
      </c>
      <c r="P100" s="12" t="n">
        <v>0.0550948183</v>
      </c>
      <c r="Q100" s="12" t="n">
        <v>0</v>
      </c>
      <c r="R100" s="13" t="n">
        <f aca="false">IF($A100=$A101,$C101-$C100,"")</f>
        <v>5</v>
      </c>
      <c r="S100" s="14" t="n">
        <f aca="false">IF(AND($A100=$A101,ISNUMBER(F100),ISNUMBER(F101)),(F101-F100)/($C101-$C100),"")</f>
        <v>0.0863700219999998</v>
      </c>
      <c r="T100" s="14" t="n">
        <f aca="false">IF(AND($A100=$A101,ISNUMBER(J100),ISNUMBER(J101)),(J101-J100)/($C101-$C100),"")</f>
        <v>0.292043501999999</v>
      </c>
      <c r="U100" s="14" t="n">
        <f aca="false">IF(AND($A100=$A101,ISNUMBER(N100),ISNUMBER(N101)),(N101-N100)/($C101-$C100),"")</f>
        <v>0.022387550000002</v>
      </c>
      <c r="V100" s="13" t="n">
        <f aca="false">IF(ISNUMBER(F100),ROUND(F100,0),"")</f>
        <v>99</v>
      </c>
      <c r="W100" s="13" t="n">
        <f aca="false">IF(ISNUMBER(J100),ROUND(J100,0),"")</f>
        <v>98</v>
      </c>
      <c r="X100" s="13" t="n">
        <f aca="false">IF(ISNUMBER(N100),ROUND(N100,0),"")</f>
        <v>100</v>
      </c>
      <c r="Y100" s="10" t="str">
        <f aca="false">IF(AND($A100=$A101,V100=100,V101=100),"full access","")</f>
        <v/>
      </c>
      <c r="Z100" s="10" t="str">
        <f aca="false">IF(AND($A100=$A101,W100=100,W101=100),"full access","")</f>
        <v/>
      </c>
      <c r="AA100" s="10" t="str">
        <f aca="false">IF(AND($A100=$A101,X100=100,X101=100),"full access","")</f>
        <v>full access</v>
      </c>
      <c r="AB100" s="14" t="n">
        <f aca="false">IF(AND(ISNUMBER(T100),ISNUMBER(U100)),T100-U100,"")</f>
        <v>0.269655951999997</v>
      </c>
    </row>
    <row r="101" customFormat="false" ht="15" hidden="false" customHeight="false" outlineLevel="0" collapsed="false">
      <c r="A101" s="10" t="s">
        <v>132</v>
      </c>
      <c r="B101" s="10" t="str">
        <f aca="false">IFERROR(INDEX('Region Lookup'!$B$2:$B$233,MATCH(A101,'Region Lookup'!$A$2:$A$233,0)),"Not found")</f>
        <v>Latin America &amp; Caribbean</v>
      </c>
      <c r="C101" s="10" t="n">
        <v>2020</v>
      </c>
      <c r="D101" s="11" t="n">
        <v>5094.11377</v>
      </c>
      <c r="E101" s="12" t="n">
        <v>80.77099609</v>
      </c>
      <c r="F101" s="12" t="n">
        <v>99.81053693</v>
      </c>
      <c r="G101" s="12" t="n">
        <v>0.1894594746</v>
      </c>
      <c r="H101" s="12" t="n">
        <v>3.594451897E-006</v>
      </c>
      <c r="I101" s="12" t="n">
        <v>0</v>
      </c>
      <c r="J101" s="12" t="n">
        <v>99.64625</v>
      </c>
      <c r="K101" s="12" t="n">
        <v>0.35375</v>
      </c>
      <c r="L101" s="12" t="n">
        <v>0</v>
      </c>
      <c r="M101" s="12" t="n">
        <v>0</v>
      </c>
      <c r="N101" s="12" t="n">
        <v>99.84965286</v>
      </c>
      <c r="O101" s="12" t="n">
        <v>0.1503471429</v>
      </c>
      <c r="P101" s="12" t="n">
        <v>0</v>
      </c>
      <c r="Q101" s="12" t="n">
        <v>0</v>
      </c>
      <c r="R101" s="13" t="str">
        <f aca="false">IF($A101=$A102,$C102-$C101,"")</f>
        <v/>
      </c>
      <c r="S101" s="14" t="str">
        <f aca="false">IF(AND($A101=$A102,ISNUMBER(F101),ISNUMBER(F102)),(F102-F101)/($C102-$C101),"")</f>
        <v/>
      </c>
      <c r="T101" s="14" t="str">
        <f aca="false">IF(AND($A101=$A102,ISNUMBER(J101),ISNUMBER(J102)),(J102-J101)/($C102-$C101),"")</f>
        <v/>
      </c>
      <c r="U101" s="14" t="str">
        <f aca="false">IF(AND($A101=$A102,ISNUMBER(N101),ISNUMBER(N102)),(N102-N101)/($C102-$C101),"")</f>
        <v/>
      </c>
      <c r="V101" s="13" t="n">
        <f aca="false">IF(ISNUMBER(F101),ROUND(F101,0),"")</f>
        <v>100</v>
      </c>
      <c r="W101" s="13" t="n">
        <f aca="false">IF(ISNUMBER(J101),ROUND(J101,0),"")</f>
        <v>100</v>
      </c>
      <c r="X101" s="13" t="n">
        <f aca="false">IF(ISNUMBER(N101),ROUND(N101,0),"")</f>
        <v>100</v>
      </c>
      <c r="Y101" s="10" t="str">
        <f aca="false">IF(AND($A101=$A102,V101=100,V102=100),"full access","")</f>
        <v/>
      </c>
      <c r="Z101" s="10" t="str">
        <f aca="false">IF(AND($A101=$A102,W101=100,W102=100),"full access","")</f>
        <v/>
      </c>
      <c r="AA101" s="10" t="str">
        <f aca="false">IF(AND($A101=$A102,X101=100,X102=100),"full access","")</f>
        <v/>
      </c>
      <c r="AB101" s="14" t="str">
        <f aca="false">IF(AND(ISNUMBER(T101),ISNUMBER(U101)),T101-U101,"")</f>
        <v/>
      </c>
    </row>
    <row r="102" customFormat="false" ht="15" hidden="false" customHeight="false" outlineLevel="0" collapsed="false">
      <c r="A102" s="4" t="s">
        <v>133</v>
      </c>
      <c r="B102" s="4" t="str">
        <f aca="false">IFERROR(INDEX('Region Lookup'!$B$2:$B$233,MATCH(A102,'Region Lookup'!$A$2:$A$233,0)),"Not found")</f>
        <v>Sub-Saharan Africa</v>
      </c>
      <c r="C102" s="4" t="n">
        <v>2015</v>
      </c>
      <c r="D102" s="6" t="n">
        <v>23226.14844</v>
      </c>
      <c r="E102" s="7" t="n">
        <v>49.44400024</v>
      </c>
      <c r="F102" s="7" t="n">
        <v>71.0757669</v>
      </c>
      <c r="G102" s="7" t="n">
        <v>8.767136459</v>
      </c>
      <c r="H102" s="7" t="n">
        <v>14.41768054</v>
      </c>
      <c r="I102" s="7" t="n">
        <v>5.739416095</v>
      </c>
      <c r="J102" s="7" t="n">
        <v>55.84317172</v>
      </c>
      <c r="K102" s="7" t="n">
        <v>13.1884673</v>
      </c>
      <c r="L102" s="7" t="n">
        <v>22.63128471</v>
      </c>
      <c r="M102" s="7" t="n">
        <v>8.337076273</v>
      </c>
      <c r="N102" s="7" t="n">
        <v>86.65094535</v>
      </c>
      <c r="O102" s="7" t="n">
        <v>4.246369254</v>
      </c>
      <c r="P102" s="7" t="n">
        <v>6.019351236</v>
      </c>
      <c r="Q102" s="7" t="n">
        <v>3.083334164</v>
      </c>
      <c r="R102" s="8" t="n">
        <f aca="false">IF($A102=$A103,$C103-$C102,"")</f>
        <v>5</v>
      </c>
      <c r="S102" s="9" t="n">
        <f aca="false">IF(AND($A102=$A103,ISNUMBER(F102),ISNUMBER(F103)),(F103-F102)/($C103-$C102),"")</f>
        <v>-0.0333393020000017</v>
      </c>
      <c r="T102" s="9" t="n">
        <f aca="false">IF(AND($A102=$A103,ISNUMBER(J102),ISNUMBER(J103)),(J103-J102)/($C103-$C102),"")</f>
        <v>-0.0241449720000006</v>
      </c>
      <c r="U102" s="9" t="n">
        <f aca="false">IF(AND($A102=$A103,ISNUMBER(N102),ISNUMBER(N103)),(N103-N102)/($C103-$C102),"")</f>
        <v>-0.311478412</v>
      </c>
      <c r="V102" s="8" t="n">
        <f aca="false">IF(ISNUMBER(F102),ROUND(F102,0),"")</f>
        <v>71</v>
      </c>
      <c r="W102" s="8" t="n">
        <f aca="false">IF(ISNUMBER(J102),ROUND(J102,0),"")</f>
        <v>56</v>
      </c>
      <c r="X102" s="8" t="n">
        <f aca="false">IF(ISNUMBER(N102),ROUND(N102,0),"")</f>
        <v>87</v>
      </c>
      <c r="Y102" s="4" t="str">
        <f aca="false">IF(AND($A102=$A103,V102=100,V103=100),"full access","")</f>
        <v/>
      </c>
      <c r="Z102" s="4" t="str">
        <f aca="false">IF(AND($A102=$A103,W102=100,W103=100),"full access","")</f>
        <v/>
      </c>
      <c r="AA102" s="4" t="str">
        <f aca="false">IF(AND($A102=$A103,X102=100,X103=100),"full access","")</f>
        <v/>
      </c>
      <c r="AB102" s="9" t="n">
        <f aca="false">IF(AND(ISNUMBER(T102),ISNUMBER(U102)),T102-U102,"")</f>
        <v>0.287333439999999</v>
      </c>
    </row>
    <row r="103" customFormat="false" ht="15" hidden="false" customHeight="false" outlineLevel="0" collapsed="false">
      <c r="A103" s="4" t="s">
        <v>133</v>
      </c>
      <c r="B103" s="4" t="str">
        <f aca="false">IFERROR(INDEX('Region Lookup'!$B$2:$B$233,MATCH(A103,'Region Lookup'!$A$2:$A$233,0)),"Not found")</f>
        <v>Sub-Saharan Africa</v>
      </c>
      <c r="C103" s="4" t="n">
        <v>2020</v>
      </c>
      <c r="D103" s="6" t="n">
        <v>26378.27539</v>
      </c>
      <c r="E103" s="7" t="n">
        <v>51.70599747</v>
      </c>
      <c r="F103" s="7" t="n">
        <v>70.90907039</v>
      </c>
      <c r="G103" s="7" t="n">
        <v>8.935421702</v>
      </c>
      <c r="H103" s="7" t="n">
        <v>14.19244161</v>
      </c>
      <c r="I103" s="7" t="n">
        <v>5.963066293</v>
      </c>
      <c r="J103" s="7" t="n">
        <v>55.72244686</v>
      </c>
      <c r="K103" s="7" t="n">
        <v>13.34316829</v>
      </c>
      <c r="L103" s="7" t="n">
        <v>23.17527956</v>
      </c>
      <c r="M103" s="7" t="n">
        <v>7.759105289</v>
      </c>
      <c r="N103" s="7" t="n">
        <v>85.09355329</v>
      </c>
      <c r="O103" s="7" t="n">
        <v>4.818535156</v>
      </c>
      <c r="P103" s="7" t="n">
        <v>5.80236656</v>
      </c>
      <c r="Q103" s="7" t="n">
        <v>4.285544994</v>
      </c>
      <c r="R103" s="8" t="str">
        <f aca="false">IF($A103=$A104,$C104-$C103,"")</f>
        <v/>
      </c>
      <c r="S103" s="9" t="str">
        <f aca="false">IF(AND($A103=$A104,ISNUMBER(F103),ISNUMBER(F104)),(F104-F103)/($C104-$C103),"")</f>
        <v/>
      </c>
      <c r="T103" s="9" t="str">
        <f aca="false">IF(AND($A103=$A104,ISNUMBER(J103),ISNUMBER(J104)),(J104-J103)/($C104-$C103),"")</f>
        <v/>
      </c>
      <c r="U103" s="9" t="str">
        <f aca="false">IF(AND($A103=$A104,ISNUMBER(N103),ISNUMBER(N104)),(N104-N103)/($C104-$C103),"")</f>
        <v/>
      </c>
      <c r="V103" s="8" t="n">
        <f aca="false">IF(ISNUMBER(F103),ROUND(F103,0),"")</f>
        <v>71</v>
      </c>
      <c r="W103" s="8" t="n">
        <f aca="false">IF(ISNUMBER(J103),ROUND(J103,0),"")</f>
        <v>56</v>
      </c>
      <c r="X103" s="8" t="n">
        <f aca="false">IF(ISNUMBER(N103),ROUND(N103,0),"")</f>
        <v>85</v>
      </c>
      <c r="Y103" s="4" t="str">
        <f aca="false">IF(AND($A103=$A104,V103=100,V104=100),"full access","")</f>
        <v/>
      </c>
      <c r="Z103" s="4" t="str">
        <f aca="false">IF(AND($A103=$A104,W103=100,W104=100),"full access","")</f>
        <v/>
      </c>
      <c r="AA103" s="4" t="str">
        <f aca="false">IF(AND($A103=$A104,X103=100,X104=100),"full access","")</f>
        <v/>
      </c>
      <c r="AB103" s="9" t="str">
        <f aca="false">IF(AND(ISNUMBER(T103),ISNUMBER(U103)),T103-U103,"")</f>
        <v/>
      </c>
    </row>
    <row r="104" customFormat="false" ht="15" hidden="false" customHeight="false" outlineLevel="0" collapsed="false">
      <c r="A104" s="10" t="s">
        <v>134</v>
      </c>
      <c r="B104" s="10" t="str">
        <f aca="false">IFERROR(INDEX('Region Lookup'!$B$2:$B$233,MATCH(A104,'Region Lookup'!$A$2:$A$233,0)),"Not found")</f>
        <v>Europe &amp; Central Asia</v>
      </c>
      <c r="C104" s="10" t="n">
        <v>2015</v>
      </c>
      <c r="D104" s="11" t="n">
        <v>4232.874023</v>
      </c>
      <c r="E104" s="12" t="n">
        <v>56.15500259</v>
      </c>
      <c r="F104" s="12"/>
      <c r="G104" s="12"/>
      <c r="H104" s="12"/>
      <c r="I104" s="12"/>
      <c r="J104" s="12"/>
      <c r="K104" s="12"/>
      <c r="L104" s="12"/>
      <c r="M104" s="12"/>
      <c r="N104" s="12" t="n">
        <v>100</v>
      </c>
      <c r="O104" s="12" t="n">
        <v>0</v>
      </c>
      <c r="P104" s="12" t="n">
        <v>0</v>
      </c>
      <c r="Q104" s="12" t="n">
        <v>0</v>
      </c>
      <c r="R104" s="13" t="n">
        <f aca="false">IF($A104=$A105,$C105-$C104,"")</f>
        <v>5</v>
      </c>
      <c r="S104" s="14" t="str">
        <f aca="false">IF(AND($A104=$A105,ISNUMBER(F104),ISNUMBER(F105)),(F105-F104)/($C105-$C104),"")</f>
        <v/>
      </c>
      <c r="T104" s="14" t="str">
        <f aca="false">IF(AND($A104=$A105,ISNUMBER(J104),ISNUMBER(J105)),(J105-J104)/($C105-$C104),"")</f>
        <v/>
      </c>
      <c r="U104" s="14" t="n">
        <f aca="false">IF(AND($A104=$A105,ISNUMBER(N104),ISNUMBER(N105)),(N105-N104)/($C105-$C104),"")</f>
        <v>0</v>
      </c>
      <c r="V104" s="13" t="str">
        <f aca="false">IF(ISNUMBER(F104),ROUND(F104,0),"")</f>
        <v/>
      </c>
      <c r="W104" s="13" t="str">
        <f aca="false">IF(ISNUMBER(J104),ROUND(J104,0),"")</f>
        <v/>
      </c>
      <c r="X104" s="13" t="n">
        <f aca="false">IF(ISNUMBER(N104),ROUND(N104,0),"")</f>
        <v>100</v>
      </c>
      <c r="Y104" s="10" t="str">
        <f aca="false">IF(AND($A104=$A105,V104=100,V105=100),"full access","")</f>
        <v/>
      </c>
      <c r="Z104" s="10" t="str">
        <f aca="false">IF(AND($A104=$A105,W104=100,W105=100),"full access","")</f>
        <v/>
      </c>
      <c r="AA104" s="10" t="str">
        <f aca="false">IF(AND($A104=$A105,X104=100,X105=100),"full access","")</f>
        <v>full access</v>
      </c>
      <c r="AB104" s="14" t="str">
        <f aca="false">IF(AND(ISNUMBER(T104),ISNUMBER(U104)),T104-U104,"")</f>
        <v/>
      </c>
    </row>
    <row r="105" customFormat="false" ht="15" hidden="false" customHeight="false" outlineLevel="0" collapsed="false">
      <c r="A105" s="10" t="s">
        <v>134</v>
      </c>
      <c r="B105" s="10" t="str">
        <f aca="false">IFERROR(INDEX('Region Lookup'!$B$2:$B$233,MATCH(A105,'Region Lookup'!$A$2:$A$233,0)),"Not found")</f>
        <v>Europe &amp; Central Asia</v>
      </c>
      <c r="C105" s="10" t="n">
        <v>2020</v>
      </c>
      <c r="D105" s="11" t="n">
        <v>4105.268066</v>
      </c>
      <c r="E105" s="12" t="n">
        <v>57.55299759</v>
      </c>
      <c r="F105" s="12"/>
      <c r="G105" s="12"/>
      <c r="H105" s="12"/>
      <c r="I105" s="12"/>
      <c r="J105" s="12"/>
      <c r="K105" s="12"/>
      <c r="L105" s="12"/>
      <c r="M105" s="12"/>
      <c r="N105" s="12" t="n">
        <v>100</v>
      </c>
      <c r="O105" s="12" t="n">
        <v>0</v>
      </c>
      <c r="P105" s="12" t="n">
        <v>0</v>
      </c>
      <c r="Q105" s="12" t="n">
        <v>0</v>
      </c>
      <c r="R105" s="13" t="str">
        <f aca="false">IF($A105=$A106,$C106-$C105,"")</f>
        <v/>
      </c>
      <c r="S105" s="14" t="str">
        <f aca="false">IF(AND($A105=$A106,ISNUMBER(F105),ISNUMBER(F106)),(F106-F105)/($C106-$C105),"")</f>
        <v/>
      </c>
      <c r="T105" s="14" t="str">
        <f aca="false">IF(AND($A105=$A106,ISNUMBER(J105),ISNUMBER(J106)),(J106-J105)/($C106-$C105),"")</f>
        <v/>
      </c>
      <c r="U105" s="14" t="str">
        <f aca="false">IF(AND($A105=$A106,ISNUMBER(N105),ISNUMBER(N106)),(N106-N105)/($C106-$C105),"")</f>
        <v/>
      </c>
      <c r="V105" s="13" t="str">
        <f aca="false">IF(ISNUMBER(F105),ROUND(F105,0),"")</f>
        <v/>
      </c>
      <c r="W105" s="13" t="str">
        <f aca="false">IF(ISNUMBER(J105),ROUND(J105,0),"")</f>
        <v/>
      </c>
      <c r="X105" s="13" t="n">
        <f aca="false">IF(ISNUMBER(N105),ROUND(N105,0),"")</f>
        <v>100</v>
      </c>
      <c r="Y105" s="10" t="str">
        <f aca="false">IF(AND($A105=$A106,V105=100,V106=100),"full access","")</f>
        <v/>
      </c>
      <c r="Z105" s="10" t="str">
        <f aca="false">IF(AND($A105=$A106,W105=100,W106=100),"full access","")</f>
        <v/>
      </c>
      <c r="AA105" s="10" t="str">
        <f aca="false">IF(AND($A105=$A106,X105=100,X106=100),"full access","")</f>
        <v/>
      </c>
      <c r="AB105" s="14" t="str">
        <f aca="false">IF(AND(ISNUMBER(T105),ISNUMBER(U105)),T105-U105,"")</f>
        <v/>
      </c>
    </row>
    <row r="106" customFormat="false" ht="15" hidden="false" customHeight="false" outlineLevel="0" collapsed="false">
      <c r="A106" s="4" t="s">
        <v>135</v>
      </c>
      <c r="B106" s="4" t="str">
        <f aca="false">IFERROR(INDEX('Region Lookup'!$B$2:$B$233,MATCH(A106,'Region Lookup'!$A$2:$A$233,0)),"Not found")</f>
        <v>Latin America &amp; Caribbean</v>
      </c>
      <c r="C106" s="4" t="n">
        <v>2015</v>
      </c>
      <c r="D106" s="6" t="n">
        <v>11324.77734</v>
      </c>
      <c r="E106" s="7" t="n">
        <v>76.89600372</v>
      </c>
      <c r="F106" s="7" t="n">
        <v>95.87179647</v>
      </c>
      <c r="G106" s="7" t="n">
        <v>1.750253789</v>
      </c>
      <c r="H106" s="7" t="n">
        <v>1.99464</v>
      </c>
      <c r="I106" s="7" t="n">
        <v>0.3833097362</v>
      </c>
      <c r="J106" s="7" t="n">
        <v>90.44506066</v>
      </c>
      <c r="K106" s="7" t="n">
        <v>3.362197131</v>
      </c>
      <c r="L106" s="7" t="n">
        <v>4.747322467</v>
      </c>
      <c r="M106" s="7" t="n">
        <v>1.445419738</v>
      </c>
      <c r="N106" s="7" t="n">
        <v>97.50230137</v>
      </c>
      <c r="O106" s="7" t="n">
        <v>1.2659329</v>
      </c>
      <c r="P106" s="7" t="n">
        <v>1.167575187</v>
      </c>
      <c r="Q106" s="7" t="n">
        <v>0.06419054206</v>
      </c>
      <c r="R106" s="8" t="n">
        <f aca="false">IF($A106=$A107,$C107-$C106,"")</f>
        <v>5</v>
      </c>
      <c r="S106" s="9" t="n">
        <f aca="false">IF(AND($A106=$A107,ISNUMBER(F106),ISNUMBER(F107)),(F107-F106)/($C107-$C106),"")</f>
        <v>0.226179937999999</v>
      </c>
      <c r="T106" s="9" t="n">
        <f aca="false">IF(AND($A106=$A107,ISNUMBER(J106),ISNUMBER(J107)),(J107-J106)/($C107-$C106),"")</f>
        <v>0.788318096000001</v>
      </c>
      <c r="U106" s="9" t="n">
        <f aca="false">IF(AND($A106=$A107,ISNUMBER(N106),ISNUMBER(N107)),(N107-N106)/($C107-$C106),"")</f>
        <v>0.0546550539999998</v>
      </c>
      <c r="V106" s="8" t="n">
        <f aca="false">IF(ISNUMBER(F106),ROUND(F106,0),"")</f>
        <v>96</v>
      </c>
      <c r="W106" s="8" t="n">
        <f aca="false">IF(ISNUMBER(J106),ROUND(J106,0),"")</f>
        <v>90</v>
      </c>
      <c r="X106" s="8" t="n">
        <f aca="false">IF(ISNUMBER(N106),ROUND(N106,0),"")</f>
        <v>98</v>
      </c>
      <c r="Y106" s="4" t="str">
        <f aca="false">IF(AND($A106=$A107,V106=100,V107=100),"full access","")</f>
        <v/>
      </c>
      <c r="Z106" s="4" t="str">
        <f aca="false">IF(AND($A106=$A107,W106=100,W107=100),"full access","")</f>
        <v/>
      </c>
      <c r="AA106" s="4" t="str">
        <f aca="false">IF(AND($A106=$A107,X106=100,X107=100),"full access","")</f>
        <v/>
      </c>
      <c r="AB106" s="9" t="n">
        <f aca="false">IF(AND(ISNUMBER(T106),ISNUMBER(U106)),T106-U106,"")</f>
        <v>0.733663042000001</v>
      </c>
    </row>
    <row r="107" customFormat="false" ht="15" hidden="false" customHeight="false" outlineLevel="0" collapsed="false">
      <c r="A107" s="4" t="s">
        <v>135</v>
      </c>
      <c r="B107" s="4" t="str">
        <f aca="false">IFERROR(INDEX('Region Lookup'!$B$2:$B$233,MATCH(A107,'Region Lookup'!$A$2:$A$233,0)),"Not found")</f>
        <v>Latin America &amp; Caribbean</v>
      </c>
      <c r="C107" s="4" t="n">
        <v>2020</v>
      </c>
      <c r="D107" s="6" t="n">
        <v>11326.61621</v>
      </c>
      <c r="E107" s="7" t="n">
        <v>77.19400024</v>
      </c>
      <c r="F107" s="7" t="n">
        <v>97.00269616</v>
      </c>
      <c r="G107" s="7" t="n">
        <v>1.471384542</v>
      </c>
      <c r="H107" s="7" t="n">
        <v>1.252811506</v>
      </c>
      <c r="I107" s="7" t="n">
        <v>0.2731077963</v>
      </c>
      <c r="J107" s="7" t="n">
        <v>94.38665114</v>
      </c>
      <c r="K107" s="7" t="n">
        <v>2.591752445</v>
      </c>
      <c r="L107" s="7" t="n">
        <v>1.905972935</v>
      </c>
      <c r="M107" s="7" t="n">
        <v>1.115623477</v>
      </c>
      <c r="N107" s="7" t="n">
        <v>97.77557664</v>
      </c>
      <c r="O107" s="7" t="n">
        <v>1.1403859</v>
      </c>
      <c r="P107" s="7" t="n">
        <v>1.059840374</v>
      </c>
      <c r="Q107" s="7" t="n">
        <v>0.02419708411</v>
      </c>
      <c r="R107" s="8" t="str">
        <f aca="false">IF($A107=$A108,$C108-$C107,"")</f>
        <v/>
      </c>
      <c r="S107" s="9" t="str">
        <f aca="false">IF(AND($A107=$A108,ISNUMBER(F107),ISNUMBER(F108)),(F108-F107)/($C108-$C107),"")</f>
        <v/>
      </c>
      <c r="T107" s="9" t="str">
        <f aca="false">IF(AND($A107=$A108,ISNUMBER(J107),ISNUMBER(J108)),(J108-J107)/($C108-$C107),"")</f>
        <v/>
      </c>
      <c r="U107" s="9" t="str">
        <f aca="false">IF(AND($A107=$A108,ISNUMBER(N107),ISNUMBER(N108)),(N108-N107)/($C108-$C107),"")</f>
        <v/>
      </c>
      <c r="V107" s="8" t="n">
        <f aca="false">IF(ISNUMBER(F107),ROUND(F107,0),"")</f>
        <v>97</v>
      </c>
      <c r="W107" s="8" t="n">
        <f aca="false">IF(ISNUMBER(J107),ROUND(J107,0),"")</f>
        <v>94</v>
      </c>
      <c r="X107" s="8" t="n">
        <f aca="false">IF(ISNUMBER(N107),ROUND(N107,0),"")</f>
        <v>98</v>
      </c>
      <c r="Y107" s="4" t="str">
        <f aca="false">IF(AND($A107=$A108,V107=100,V108=100),"full access","")</f>
        <v/>
      </c>
      <c r="Z107" s="4" t="str">
        <f aca="false">IF(AND($A107=$A108,W107=100,W108=100),"full access","")</f>
        <v/>
      </c>
      <c r="AA107" s="4" t="str">
        <f aca="false">IF(AND($A107=$A108,X107=100,X108=100),"full access","")</f>
        <v/>
      </c>
      <c r="AB107" s="9" t="str">
        <f aca="false">IF(AND(ISNUMBER(T107),ISNUMBER(U107)),T107-U107,"")</f>
        <v/>
      </c>
    </row>
    <row r="108" customFormat="false" ht="15" hidden="false" customHeight="false" outlineLevel="0" collapsed="false">
      <c r="A108" s="10" t="s">
        <v>136</v>
      </c>
      <c r="B108" s="10" t="str">
        <f aca="false">IFERROR(INDEX('Region Lookup'!$B$2:$B$233,MATCH(A108,'Region Lookup'!$A$2:$A$233,0)),"Not found")</f>
        <v>Latin America &amp; Caribbean</v>
      </c>
      <c r="C108" s="10" t="n">
        <v>2015</v>
      </c>
      <c r="D108" s="11" t="n">
        <v>159.8500061</v>
      </c>
      <c r="E108" s="12" t="n">
        <v>89.35199738</v>
      </c>
      <c r="F108" s="12" t="n">
        <v>99.49775185</v>
      </c>
      <c r="G108" s="12" t="n">
        <v>0</v>
      </c>
      <c r="H108" s="12" t="n">
        <v>0.5022481525</v>
      </c>
      <c r="I108" s="12" t="n">
        <v>0</v>
      </c>
      <c r="J108" s="12"/>
      <c r="K108" s="12"/>
      <c r="L108" s="12"/>
      <c r="M108" s="12"/>
      <c r="N108" s="12"/>
      <c r="O108" s="12"/>
      <c r="P108" s="12"/>
      <c r="Q108" s="12"/>
      <c r="R108" s="13" t="n">
        <f aca="false">IF($A108=$A109,$C109-$C108,"")</f>
        <v>2</v>
      </c>
      <c r="S108" s="14" t="n">
        <f aca="false">IF(AND($A108=$A109,ISNUMBER(F108),ISNUMBER(F109)),(F109-F108)/($C109-$C108),"")</f>
        <v>0</v>
      </c>
      <c r="T108" s="14" t="str">
        <f aca="false">IF(AND($A108=$A109,ISNUMBER(J108),ISNUMBER(J109)),(J109-J108)/($C109-$C108),"")</f>
        <v/>
      </c>
      <c r="U108" s="14" t="str">
        <f aca="false">IF(AND($A108=$A109,ISNUMBER(N108),ISNUMBER(N109)),(N109-N108)/($C109-$C108),"")</f>
        <v/>
      </c>
      <c r="V108" s="13" t="n">
        <f aca="false">IF(ISNUMBER(F108),ROUND(F108,0),"")</f>
        <v>99</v>
      </c>
      <c r="W108" s="13" t="str">
        <f aca="false">IF(ISNUMBER(J108),ROUND(J108,0),"")</f>
        <v/>
      </c>
      <c r="X108" s="13" t="str">
        <f aca="false">IF(ISNUMBER(N108),ROUND(N108,0),"")</f>
        <v/>
      </c>
      <c r="Y108" s="10" t="str">
        <f aca="false">IF(AND($A108=$A109,V108=100,V109=100),"full access","")</f>
        <v/>
      </c>
      <c r="Z108" s="10" t="str">
        <f aca="false">IF(AND($A108=$A109,W108=100,W109=100),"full access","")</f>
        <v/>
      </c>
      <c r="AA108" s="10" t="str">
        <f aca="false">IF(AND($A108=$A109,X108=100,X109=100),"full access","")</f>
        <v/>
      </c>
      <c r="AB108" s="14" t="str">
        <f aca="false">IF(AND(ISNUMBER(T108),ISNUMBER(U108)),T108-U108,"")</f>
        <v/>
      </c>
    </row>
    <row r="109" customFormat="false" ht="15" hidden="false" customHeight="false" outlineLevel="0" collapsed="false">
      <c r="A109" s="10" t="s">
        <v>136</v>
      </c>
      <c r="B109" s="10" t="str">
        <f aca="false">IFERROR(INDEX('Region Lookup'!$B$2:$B$233,MATCH(A109,'Region Lookup'!$A$2:$A$233,0)),"Not found")</f>
        <v>Latin America &amp; Caribbean</v>
      </c>
      <c r="C109" s="10" t="n">
        <v>2017</v>
      </c>
      <c r="D109" s="11" t="n">
        <v>161.9859924</v>
      </c>
      <c r="E109" s="12" t="n">
        <v>89.20300293</v>
      </c>
      <c r="F109" s="12" t="n">
        <v>99.49775185</v>
      </c>
      <c r="G109" s="12" t="n">
        <v>0</v>
      </c>
      <c r="H109" s="12" t="n">
        <v>0.5022481525</v>
      </c>
      <c r="I109" s="12" t="n">
        <v>0</v>
      </c>
      <c r="J109" s="12"/>
      <c r="K109" s="12"/>
      <c r="L109" s="12"/>
      <c r="M109" s="12"/>
      <c r="N109" s="12"/>
      <c r="O109" s="12"/>
      <c r="P109" s="12"/>
      <c r="Q109" s="12"/>
      <c r="R109" s="13" t="str">
        <f aca="false">IF($A109=$A110,$C110-$C109,"")</f>
        <v/>
      </c>
      <c r="S109" s="14" t="str">
        <f aca="false">IF(AND($A109=$A110,ISNUMBER(F109),ISNUMBER(F110)),(F110-F109)/($C110-$C109),"")</f>
        <v/>
      </c>
      <c r="T109" s="14" t="str">
        <f aca="false">IF(AND($A109=$A110,ISNUMBER(J109),ISNUMBER(J110)),(J110-J109)/($C110-$C109),"")</f>
        <v/>
      </c>
      <c r="U109" s="14" t="str">
        <f aca="false">IF(AND($A109=$A110,ISNUMBER(N109),ISNUMBER(N110)),(N110-N109)/($C110-$C109),"")</f>
        <v/>
      </c>
      <c r="V109" s="13" t="n">
        <f aca="false">IF(ISNUMBER(F109),ROUND(F109,0),"")</f>
        <v>99</v>
      </c>
      <c r="W109" s="13" t="str">
        <f aca="false">IF(ISNUMBER(J109),ROUND(J109,0),"")</f>
        <v/>
      </c>
      <c r="X109" s="13" t="str">
        <f aca="false">IF(ISNUMBER(N109),ROUND(N109,0),"")</f>
        <v/>
      </c>
      <c r="Y109" s="10" t="str">
        <f aca="false">IF(AND($A109=$A110,V109=100,V110=100),"full access","")</f>
        <v/>
      </c>
      <c r="Z109" s="10" t="str">
        <f aca="false">IF(AND($A109=$A110,W109=100,W110=100),"full access","")</f>
        <v/>
      </c>
      <c r="AA109" s="10" t="str">
        <f aca="false">IF(AND($A109=$A110,X109=100,X110=100),"full access","")</f>
        <v/>
      </c>
      <c r="AB109" s="14" t="str">
        <f aca="false">IF(AND(ISNUMBER(T109),ISNUMBER(U109)),T109-U109,"")</f>
        <v/>
      </c>
    </row>
    <row r="110" customFormat="false" ht="15" hidden="false" customHeight="false" outlineLevel="0" collapsed="false">
      <c r="A110" s="4" t="s">
        <v>137</v>
      </c>
      <c r="B110" s="4" t="str">
        <f aca="false">IFERROR(INDEX('Region Lookup'!$B$2:$B$233,MATCH(A110,'Region Lookup'!$A$2:$A$233,0)),"Not found")</f>
        <v>Europe &amp; Central Asia</v>
      </c>
      <c r="C110" s="4" t="n">
        <v>2015</v>
      </c>
      <c r="D110" s="6" t="n">
        <v>1160.987061</v>
      </c>
      <c r="E110" s="7" t="n">
        <v>66.94599915</v>
      </c>
      <c r="F110" s="7" t="n">
        <v>99.78851757</v>
      </c>
      <c r="G110" s="7" t="n">
        <v>0</v>
      </c>
      <c r="H110" s="7" t="n">
        <v>0.2114824349</v>
      </c>
      <c r="I110" s="7" t="n">
        <v>0</v>
      </c>
      <c r="J110" s="7" t="n">
        <v>99.86118554</v>
      </c>
      <c r="K110" s="7" t="n">
        <v>0</v>
      </c>
      <c r="L110" s="7" t="n">
        <v>0.1388144553</v>
      </c>
      <c r="M110" s="7" t="n">
        <v>0</v>
      </c>
      <c r="N110" s="7" t="n">
        <v>99.75264231</v>
      </c>
      <c r="O110" s="7" t="n">
        <v>0</v>
      </c>
      <c r="P110" s="7" t="n">
        <v>0.2473576943</v>
      </c>
      <c r="Q110" s="7" t="n">
        <v>0</v>
      </c>
      <c r="R110" s="8" t="n">
        <f aca="false">IF($A110=$A111,$C111-$C110,"")</f>
        <v>5</v>
      </c>
      <c r="S110" s="9" t="n">
        <f aca="false">IF(AND($A110=$A111,ISNUMBER(F110),ISNUMBER(F111)),(F111-F110)/($C111-$C110),"")</f>
        <v>-0.00466887799999824</v>
      </c>
      <c r="T110" s="9" t="n">
        <f aca="false">IF(AND($A110=$A111,ISNUMBER(J110),ISNUMBER(J111)),(J111-J110)/($C111-$C110),"")</f>
        <v>-0.00308476399999904</v>
      </c>
      <c r="U110" s="9" t="n">
        <f aca="false">IF(AND($A110=$A111,ISNUMBER(N110),ISNUMBER(N111)),(N111-N110)/($C111-$C110),"")</f>
        <v>-0.00549683799999912</v>
      </c>
      <c r="V110" s="8" t="n">
        <f aca="false">IF(ISNUMBER(F110),ROUND(F110,0),"")</f>
        <v>100</v>
      </c>
      <c r="W110" s="8" t="n">
        <f aca="false">IF(ISNUMBER(J110),ROUND(J110,0),"")</f>
        <v>100</v>
      </c>
      <c r="X110" s="8" t="n">
        <f aca="false">IF(ISNUMBER(N110),ROUND(N110,0),"")</f>
        <v>100</v>
      </c>
      <c r="Y110" s="4" t="str">
        <f aca="false">IF(AND($A110=$A111,V110=100,V111=100),"full access","")</f>
        <v>full access</v>
      </c>
      <c r="Z110" s="4" t="str">
        <f aca="false">IF(AND($A110=$A111,W110=100,W111=100),"full access","")</f>
        <v>full access</v>
      </c>
      <c r="AA110" s="4" t="str">
        <f aca="false">IF(AND($A110=$A111,X110=100,X111=100),"full access","")</f>
        <v>full access</v>
      </c>
      <c r="AB110" s="9" t="n">
        <f aca="false">IF(AND(ISNUMBER(T110),ISNUMBER(U110)),T110-U110,"")</f>
        <v>0.00241207400000008</v>
      </c>
    </row>
    <row r="111" customFormat="false" ht="15" hidden="false" customHeight="false" outlineLevel="0" collapsed="false">
      <c r="A111" s="4" t="s">
        <v>137</v>
      </c>
      <c r="B111" s="4" t="str">
        <f aca="false">IFERROR(INDEX('Region Lookup'!$B$2:$B$233,MATCH(A111,'Region Lookup'!$A$2:$A$233,0)),"Not found")</f>
        <v>Europe &amp; Central Asia</v>
      </c>
      <c r="C111" s="4" t="n">
        <v>2020</v>
      </c>
      <c r="D111" s="6" t="n">
        <v>1207.360962</v>
      </c>
      <c r="E111" s="7" t="n">
        <v>66.82099915</v>
      </c>
      <c r="F111" s="7" t="n">
        <v>99.76517318</v>
      </c>
      <c r="G111" s="7" t="n">
        <v>0</v>
      </c>
      <c r="H111" s="7" t="n">
        <v>0.2348268167</v>
      </c>
      <c r="I111" s="7" t="n">
        <v>0</v>
      </c>
      <c r="J111" s="7" t="n">
        <v>99.84576172</v>
      </c>
      <c r="K111" s="7" t="n">
        <v>0</v>
      </c>
      <c r="L111" s="7" t="n">
        <v>0.1542382836</v>
      </c>
      <c r="M111" s="7" t="n">
        <v>0</v>
      </c>
      <c r="N111" s="7" t="n">
        <v>99.72515812</v>
      </c>
      <c r="O111" s="7" t="n">
        <v>0</v>
      </c>
      <c r="P111" s="7" t="n">
        <v>0.2748418825</v>
      </c>
      <c r="Q111" s="7" t="n">
        <v>0</v>
      </c>
      <c r="R111" s="8" t="str">
        <f aca="false">IF($A111=$A112,$C112-$C111,"")</f>
        <v/>
      </c>
      <c r="S111" s="9" t="str">
        <f aca="false">IF(AND($A111=$A112,ISNUMBER(F111),ISNUMBER(F112)),(F112-F111)/($C112-$C111),"")</f>
        <v/>
      </c>
      <c r="T111" s="9" t="str">
        <f aca="false">IF(AND($A111=$A112,ISNUMBER(J111),ISNUMBER(J112)),(J112-J111)/($C112-$C111),"")</f>
        <v/>
      </c>
      <c r="U111" s="9" t="str">
        <f aca="false">IF(AND($A111=$A112,ISNUMBER(N111),ISNUMBER(N112)),(N112-N111)/($C112-$C111),"")</f>
        <v/>
      </c>
      <c r="V111" s="8" t="n">
        <f aca="false">IF(ISNUMBER(F111),ROUND(F111,0),"")</f>
        <v>100</v>
      </c>
      <c r="W111" s="8" t="n">
        <f aca="false">IF(ISNUMBER(J111),ROUND(J111,0),"")</f>
        <v>100</v>
      </c>
      <c r="X111" s="8" t="n">
        <f aca="false">IF(ISNUMBER(N111),ROUND(N111,0),"")</f>
        <v>100</v>
      </c>
      <c r="Y111" s="4" t="str">
        <f aca="false">IF(AND($A111=$A112,V111=100,V112=100),"full access","")</f>
        <v/>
      </c>
      <c r="Z111" s="4" t="str">
        <f aca="false">IF(AND($A111=$A112,W111=100,W112=100),"full access","")</f>
        <v/>
      </c>
      <c r="AA111" s="4" t="str">
        <f aca="false">IF(AND($A111=$A112,X111=100,X112=100),"full access","")</f>
        <v/>
      </c>
      <c r="AB111" s="9" t="str">
        <f aca="false">IF(AND(ISNUMBER(T111),ISNUMBER(U111)),T111-U111,"")</f>
        <v/>
      </c>
    </row>
    <row r="112" customFormat="false" ht="15" hidden="false" customHeight="false" outlineLevel="0" collapsed="false">
      <c r="A112" s="10" t="s">
        <v>138</v>
      </c>
      <c r="B112" s="10" t="str">
        <f aca="false">IFERROR(INDEX('Region Lookup'!$B$2:$B$233,MATCH(A112,'Region Lookup'!$A$2:$A$233,0)),"Not found")</f>
        <v>Europe &amp; Central Asia</v>
      </c>
      <c r="C112" s="10" t="n">
        <v>2015</v>
      </c>
      <c r="D112" s="11" t="n">
        <v>10601.38965</v>
      </c>
      <c r="E112" s="12" t="n">
        <v>73.47699738</v>
      </c>
      <c r="F112" s="12" t="n">
        <v>99.88009269</v>
      </c>
      <c r="G112" s="12" t="n">
        <v>0</v>
      </c>
      <c r="H112" s="12" t="n">
        <v>0.1199073119</v>
      </c>
      <c r="I112" s="12" t="n">
        <v>0</v>
      </c>
      <c r="J112" s="12" t="n">
        <v>99.8175993</v>
      </c>
      <c r="K112" s="12" t="n">
        <v>0</v>
      </c>
      <c r="L112" s="12" t="n">
        <v>0.1824006965</v>
      </c>
      <c r="M112" s="12" t="n">
        <v>0</v>
      </c>
      <c r="N112" s="12" t="n">
        <v>99.90265093</v>
      </c>
      <c r="O112" s="12" t="n">
        <v>0</v>
      </c>
      <c r="P112" s="12" t="n">
        <v>0.0973490679</v>
      </c>
      <c r="Q112" s="12" t="n">
        <v>0</v>
      </c>
      <c r="R112" s="13" t="n">
        <f aca="false">IF($A112=$A113,$C113-$C112,"")</f>
        <v>5</v>
      </c>
      <c r="S112" s="14" t="n">
        <f aca="false">IF(AND($A112=$A113,ISNUMBER(F112),ISNUMBER(F113)),(F113-F112)/($C113-$C112),"")</f>
        <v>9.97960000006515E-005</v>
      </c>
      <c r="T112" s="14" t="n">
        <f aca="false">IF(AND($A112=$A113,ISNUMBER(J112),ISNUMBER(J113)),(J113-J112)/($C113-$C112),"")</f>
        <v>0</v>
      </c>
      <c r="U112" s="14" t="n">
        <f aca="false">IF(AND($A112=$A113,ISNUMBER(N112),ISNUMBER(N113)),(N113-N112)/($C113-$C112),"")</f>
        <v>0</v>
      </c>
      <c r="V112" s="13" t="n">
        <f aca="false">IF(ISNUMBER(F112),ROUND(F112,0),"")</f>
        <v>100</v>
      </c>
      <c r="W112" s="13" t="n">
        <f aca="false">IF(ISNUMBER(J112),ROUND(J112,0),"")</f>
        <v>100</v>
      </c>
      <c r="X112" s="13" t="n">
        <f aca="false">IF(ISNUMBER(N112),ROUND(N112,0),"")</f>
        <v>100</v>
      </c>
      <c r="Y112" s="10" t="str">
        <f aca="false">IF(AND($A112=$A113,V112=100,V113=100),"full access","")</f>
        <v>full access</v>
      </c>
      <c r="Z112" s="10" t="str">
        <f aca="false">IF(AND($A112=$A113,W112=100,W113=100),"full access","")</f>
        <v>full access</v>
      </c>
      <c r="AA112" s="10" t="str">
        <f aca="false">IF(AND($A112=$A113,X112=100,X113=100),"full access","")</f>
        <v>full access</v>
      </c>
      <c r="AB112" s="14" t="n">
        <f aca="false">IF(AND(ISNUMBER(T112),ISNUMBER(U112)),T112-U112,"")</f>
        <v>0</v>
      </c>
    </row>
    <row r="113" customFormat="false" ht="15" hidden="false" customHeight="false" outlineLevel="0" collapsed="false">
      <c r="A113" s="10" t="s">
        <v>138</v>
      </c>
      <c r="B113" s="10" t="str">
        <f aca="false">IFERROR(INDEX('Region Lookup'!$B$2:$B$233,MATCH(A113,'Region Lookup'!$A$2:$A$233,0)),"Not found")</f>
        <v>Europe &amp; Central Asia</v>
      </c>
      <c r="C113" s="10" t="n">
        <v>2020</v>
      </c>
      <c r="D113" s="11" t="n">
        <v>10708.98242</v>
      </c>
      <c r="E113" s="12" t="n">
        <v>74.06100464</v>
      </c>
      <c r="F113" s="12" t="n">
        <v>99.88059167</v>
      </c>
      <c r="G113" s="12" t="n">
        <v>0</v>
      </c>
      <c r="H113" s="12" t="n">
        <v>0.1194083325</v>
      </c>
      <c r="I113" s="12" t="n">
        <v>0</v>
      </c>
      <c r="J113" s="12" t="n">
        <v>99.8175993</v>
      </c>
      <c r="K113" s="12" t="n">
        <v>0</v>
      </c>
      <c r="L113" s="12" t="n">
        <v>0.1824006965</v>
      </c>
      <c r="M113" s="12" t="n">
        <v>0</v>
      </c>
      <c r="N113" s="12" t="n">
        <v>99.90265093</v>
      </c>
      <c r="O113" s="12" t="n">
        <v>0</v>
      </c>
      <c r="P113" s="12" t="n">
        <v>0.0973490679</v>
      </c>
      <c r="Q113" s="12" t="n">
        <v>0</v>
      </c>
      <c r="R113" s="13" t="str">
        <f aca="false">IF($A113=$A114,$C114-$C113,"")</f>
        <v/>
      </c>
      <c r="S113" s="14" t="str">
        <f aca="false">IF(AND($A113=$A114,ISNUMBER(F113),ISNUMBER(F114)),(F114-F113)/($C114-$C113),"")</f>
        <v/>
      </c>
      <c r="T113" s="14" t="str">
        <f aca="false">IF(AND($A113=$A114,ISNUMBER(J113),ISNUMBER(J114)),(J114-J113)/($C114-$C113),"")</f>
        <v/>
      </c>
      <c r="U113" s="14" t="str">
        <f aca="false">IF(AND($A113=$A114,ISNUMBER(N113),ISNUMBER(N114)),(N114-N113)/($C114-$C113),"")</f>
        <v/>
      </c>
      <c r="V113" s="13" t="n">
        <f aca="false">IF(ISNUMBER(F113),ROUND(F113,0),"")</f>
        <v>100</v>
      </c>
      <c r="W113" s="13" t="n">
        <f aca="false">IF(ISNUMBER(J113),ROUND(J113,0),"")</f>
        <v>100</v>
      </c>
      <c r="X113" s="13" t="n">
        <f aca="false">IF(ISNUMBER(N113),ROUND(N113,0),"")</f>
        <v>100</v>
      </c>
      <c r="Y113" s="10" t="str">
        <f aca="false">IF(AND($A113=$A114,V113=100,V114=100),"full access","")</f>
        <v/>
      </c>
      <c r="Z113" s="10" t="str">
        <f aca="false">IF(AND($A113=$A114,W113=100,W114=100),"full access","")</f>
        <v/>
      </c>
      <c r="AA113" s="10" t="str">
        <f aca="false">IF(AND($A113=$A114,X113=100,X114=100),"full access","")</f>
        <v/>
      </c>
      <c r="AB113" s="14" t="str">
        <f aca="false">IF(AND(ISNUMBER(T113),ISNUMBER(U113)),T113-U113,"")</f>
        <v/>
      </c>
    </row>
    <row r="114" customFormat="false" ht="15" hidden="false" customHeight="false" outlineLevel="0" collapsed="false">
      <c r="A114" s="4" t="s">
        <v>139</v>
      </c>
      <c r="B114" s="4" t="str">
        <f aca="false">IFERROR(INDEX('Region Lookup'!$B$2:$B$233,MATCH(A114,'Region Lookup'!$A$2:$A$233,0)),"Not found")</f>
        <v>East Asia &amp; Pacific</v>
      </c>
      <c r="C114" s="4" t="n">
        <v>2015</v>
      </c>
      <c r="D114" s="6" t="n">
        <v>25183.83203</v>
      </c>
      <c r="E114" s="7" t="n">
        <v>61.27700424</v>
      </c>
      <c r="F114" s="7" t="n">
        <v>95.21488171</v>
      </c>
      <c r="G114" s="7" t="n">
        <v>0.6850023901</v>
      </c>
      <c r="H114" s="7" t="n">
        <v>3.829054918</v>
      </c>
      <c r="I114" s="7" t="n">
        <v>0.2710609803</v>
      </c>
      <c r="J114" s="7" t="n">
        <v>91.61696842</v>
      </c>
      <c r="K114" s="7" t="n">
        <v>0.3679396322</v>
      </c>
      <c r="L114" s="7" t="n">
        <v>7.315091944</v>
      </c>
      <c r="M114" s="7" t="n">
        <v>0.7</v>
      </c>
      <c r="N114" s="7" t="n">
        <v>97.48852402</v>
      </c>
      <c r="O114" s="7" t="n">
        <v>0.8853650012</v>
      </c>
      <c r="P114" s="7" t="n">
        <v>1.626110978</v>
      </c>
      <c r="Q114" s="7" t="n">
        <v>0</v>
      </c>
      <c r="R114" s="8" t="n">
        <f aca="false">IF($A114=$A115,$C115-$C114,"")</f>
        <v>5</v>
      </c>
      <c r="S114" s="9" t="n">
        <f aca="false">IF(AND($A114=$A115,ISNUMBER(F114),ISNUMBER(F115)),(F115-F114)/($C115-$C114),"")</f>
        <v>-0.274207736</v>
      </c>
      <c r="T114" s="9" t="n">
        <f aca="false">IF(AND($A114=$A115,ISNUMBER(J114),ISNUMBER(J115)),(J115-J114)/($C115-$C114),"")</f>
        <v>-0.572668708000001</v>
      </c>
      <c r="U114" s="9" t="n">
        <f aca="false">IF(AND($A114=$A115,ISNUMBER(N114),ISNUMBER(N115)),(N115-N114)/($C115-$C114),"")</f>
        <v>-0.115002716000001</v>
      </c>
      <c r="V114" s="8" t="n">
        <f aca="false">IF(ISNUMBER(F114),ROUND(F114,0),"")</f>
        <v>95</v>
      </c>
      <c r="W114" s="8" t="n">
        <f aca="false">IF(ISNUMBER(J114),ROUND(J114,0),"")</f>
        <v>92</v>
      </c>
      <c r="X114" s="8" t="n">
        <f aca="false">IF(ISNUMBER(N114),ROUND(N114,0),"")</f>
        <v>97</v>
      </c>
      <c r="Y114" s="4" t="str">
        <f aca="false">IF(AND($A114=$A115,V114=100,V115=100),"full access","")</f>
        <v/>
      </c>
      <c r="Z114" s="4" t="str">
        <f aca="false">IF(AND($A114=$A115,W114=100,W115=100),"full access","")</f>
        <v/>
      </c>
      <c r="AA114" s="4" t="str">
        <f aca="false">IF(AND($A114=$A115,X114=100,X115=100),"full access","")</f>
        <v/>
      </c>
      <c r="AB114" s="9" t="n">
        <f aca="false">IF(AND(ISNUMBER(T114),ISNUMBER(U114)),T114-U114,"")</f>
        <v>-0.457665992</v>
      </c>
    </row>
    <row r="115" customFormat="false" ht="15" hidden="false" customHeight="false" outlineLevel="0" collapsed="false">
      <c r="A115" s="4" t="s">
        <v>139</v>
      </c>
      <c r="B115" s="4" t="str">
        <f aca="false">IFERROR(INDEX('Region Lookup'!$B$2:$B$233,MATCH(A115,'Region Lookup'!$A$2:$A$233,0)),"Not found")</f>
        <v>East Asia &amp; Pacific</v>
      </c>
      <c r="C115" s="4" t="n">
        <v>2020</v>
      </c>
      <c r="D115" s="6" t="n">
        <v>25778.81445</v>
      </c>
      <c r="E115" s="7" t="n">
        <v>62.38100052</v>
      </c>
      <c r="F115" s="7" t="n">
        <v>93.84384303</v>
      </c>
      <c r="G115" s="7" t="n">
        <v>0.6831311872</v>
      </c>
      <c r="H115" s="7" t="n">
        <v>5.20969278</v>
      </c>
      <c r="I115" s="7" t="n">
        <v>0.2633330058</v>
      </c>
      <c r="J115" s="7" t="n">
        <v>88.75362488</v>
      </c>
      <c r="K115" s="7" t="n">
        <v>0.3564402606</v>
      </c>
      <c r="L115" s="7" t="n">
        <v>10.18993486</v>
      </c>
      <c r="M115" s="7" t="n">
        <v>0.7</v>
      </c>
      <c r="N115" s="7" t="n">
        <v>96.91351044</v>
      </c>
      <c r="O115" s="7" t="n">
        <v>0.8801428799</v>
      </c>
      <c r="P115" s="7" t="n">
        <v>2.206346677</v>
      </c>
      <c r="Q115" s="7" t="n">
        <v>0</v>
      </c>
      <c r="R115" s="8" t="str">
        <f aca="false">IF($A115=$A116,$C116-$C115,"")</f>
        <v/>
      </c>
      <c r="S115" s="9" t="str">
        <f aca="false">IF(AND($A115=$A116,ISNUMBER(F115),ISNUMBER(F116)),(F116-F115)/($C116-$C115),"")</f>
        <v/>
      </c>
      <c r="T115" s="9" t="str">
        <f aca="false">IF(AND($A115=$A116,ISNUMBER(J115),ISNUMBER(J116)),(J116-J115)/($C116-$C115),"")</f>
        <v/>
      </c>
      <c r="U115" s="9" t="str">
        <f aca="false">IF(AND($A115=$A116,ISNUMBER(N115),ISNUMBER(N116)),(N116-N115)/($C116-$C115),"")</f>
        <v/>
      </c>
      <c r="V115" s="8" t="n">
        <f aca="false">IF(ISNUMBER(F115),ROUND(F115,0),"")</f>
        <v>94</v>
      </c>
      <c r="W115" s="8" t="n">
        <f aca="false">IF(ISNUMBER(J115),ROUND(J115,0),"")</f>
        <v>89</v>
      </c>
      <c r="X115" s="8" t="n">
        <f aca="false">IF(ISNUMBER(N115),ROUND(N115,0),"")</f>
        <v>97</v>
      </c>
      <c r="Y115" s="4" t="str">
        <f aca="false">IF(AND($A115=$A116,V115=100,V116=100),"full access","")</f>
        <v/>
      </c>
      <c r="Z115" s="4" t="str">
        <f aca="false">IF(AND($A115=$A116,W115=100,W116=100),"full access","")</f>
        <v/>
      </c>
      <c r="AA115" s="4" t="str">
        <f aca="false">IF(AND($A115=$A116,X115=100,X116=100),"full access","")</f>
        <v/>
      </c>
      <c r="AB115" s="9" t="str">
        <f aca="false">IF(AND(ISNUMBER(T115),ISNUMBER(U115)),T115-U115,"")</f>
        <v/>
      </c>
    </row>
    <row r="116" customFormat="false" ht="15" hidden="false" customHeight="false" outlineLevel="0" collapsed="false">
      <c r="A116" s="10" t="s">
        <v>140</v>
      </c>
      <c r="B116" s="10" t="str">
        <f aca="false">IFERROR(INDEX('Region Lookup'!$B$2:$B$233,MATCH(A116,'Region Lookup'!$A$2:$A$233,0)),"Not found")</f>
        <v>Sub-Saharan Africa</v>
      </c>
      <c r="C116" s="10" t="n">
        <v>2015</v>
      </c>
      <c r="D116" s="11" t="n">
        <v>76244.53125</v>
      </c>
      <c r="E116" s="12" t="n">
        <v>42.73999786</v>
      </c>
      <c r="F116" s="12" t="n">
        <v>42.71817997</v>
      </c>
      <c r="G116" s="12" t="n">
        <v>12.68729907</v>
      </c>
      <c r="H116" s="12" t="n">
        <v>34.28402477</v>
      </c>
      <c r="I116" s="12" t="n">
        <v>10.31049619</v>
      </c>
      <c r="J116" s="12" t="n">
        <v>20.6225138</v>
      </c>
      <c r="K116" s="12" t="n">
        <v>11.51689397</v>
      </c>
      <c r="L116" s="12" t="n">
        <v>51.00984003</v>
      </c>
      <c r="M116" s="12" t="n">
        <v>16.8507522</v>
      </c>
      <c r="N116" s="12" t="n">
        <v>72.32037779</v>
      </c>
      <c r="O116" s="12" t="n">
        <v>14.25532498</v>
      </c>
      <c r="P116" s="12" t="n">
        <v>11.87596826</v>
      </c>
      <c r="Q116" s="12" t="n">
        <v>1.548328967</v>
      </c>
      <c r="R116" s="13" t="n">
        <f aca="false">IF($A116=$A117,$C117-$C116,"")</f>
        <v>5</v>
      </c>
      <c r="S116" s="14" t="n">
        <f aca="false">IF(AND($A116=$A117,ISNUMBER(F116),ISNUMBER(F117)),(F117-F116)/($C117-$C116),"")</f>
        <v>0.646789398</v>
      </c>
      <c r="T116" s="14" t="n">
        <f aca="false">IF(AND($A116=$A117,ISNUMBER(J116),ISNUMBER(J117)),(J117-J116)/($C117-$C116),"")</f>
        <v>0.272055708</v>
      </c>
      <c r="U116" s="14" t="n">
        <f aca="false">IF(AND($A116=$A117,ISNUMBER(N116),ISNUMBER(N117)),(N117-N116)/($C117-$C116),"")</f>
        <v>0.436595398</v>
      </c>
      <c r="V116" s="13" t="n">
        <f aca="false">IF(ISNUMBER(F116),ROUND(F116,0),"")</f>
        <v>43</v>
      </c>
      <c r="W116" s="13" t="n">
        <f aca="false">IF(ISNUMBER(J116),ROUND(J116,0),"")</f>
        <v>21</v>
      </c>
      <c r="X116" s="13" t="n">
        <f aca="false">IF(ISNUMBER(N116),ROUND(N116,0),"")</f>
        <v>72</v>
      </c>
      <c r="Y116" s="10" t="str">
        <f aca="false">IF(AND($A116=$A117,V116=100,V117=100),"full access","")</f>
        <v/>
      </c>
      <c r="Z116" s="10" t="str">
        <f aca="false">IF(AND($A116=$A117,W116=100,W117=100),"full access","")</f>
        <v/>
      </c>
      <c r="AA116" s="10" t="str">
        <f aca="false">IF(AND($A116=$A117,X116=100,X117=100),"full access","")</f>
        <v/>
      </c>
      <c r="AB116" s="14" t="n">
        <f aca="false">IF(AND(ISNUMBER(T116),ISNUMBER(U116)),T116-U116,"")</f>
        <v>-0.16453969</v>
      </c>
    </row>
    <row r="117" customFormat="false" ht="15" hidden="false" customHeight="false" outlineLevel="0" collapsed="false">
      <c r="A117" s="10" t="s">
        <v>140</v>
      </c>
      <c r="B117" s="10" t="str">
        <f aca="false">IFERROR(INDEX('Region Lookup'!$B$2:$B$233,MATCH(A117,'Region Lookup'!$A$2:$A$233,0)),"Not found")</f>
        <v>Sub-Saharan Africa</v>
      </c>
      <c r="C117" s="10" t="n">
        <v>2020</v>
      </c>
      <c r="D117" s="11" t="n">
        <v>89561.40625</v>
      </c>
      <c r="E117" s="12" t="n">
        <v>45.63800049</v>
      </c>
      <c r="F117" s="12" t="n">
        <v>45.95212696</v>
      </c>
      <c r="G117" s="12" t="n">
        <v>13.44122447</v>
      </c>
      <c r="H117" s="12" t="n">
        <v>32.54231607</v>
      </c>
      <c r="I117" s="12" t="n">
        <v>8.064332495</v>
      </c>
      <c r="J117" s="12" t="n">
        <v>21.98279234</v>
      </c>
      <c r="K117" s="12" t="n">
        <v>12.68294146</v>
      </c>
      <c r="L117" s="12" t="n">
        <v>51.21598167</v>
      </c>
      <c r="M117" s="12" t="n">
        <v>14.11828453</v>
      </c>
      <c r="N117" s="12" t="n">
        <v>74.50335478</v>
      </c>
      <c r="O117" s="12" t="n">
        <v>14.34445818</v>
      </c>
      <c r="P117" s="12" t="n">
        <v>10.29905862</v>
      </c>
      <c r="Q117" s="12" t="n">
        <v>0.8531284131</v>
      </c>
      <c r="R117" s="13" t="str">
        <f aca="false">IF($A117=$A118,$C118-$C117,"")</f>
        <v/>
      </c>
      <c r="S117" s="14" t="str">
        <f aca="false">IF(AND($A117=$A118,ISNUMBER(F117),ISNUMBER(F118)),(F118-F117)/($C118-$C117),"")</f>
        <v/>
      </c>
      <c r="T117" s="14" t="str">
        <f aca="false">IF(AND($A117=$A118,ISNUMBER(J117),ISNUMBER(J118)),(J118-J117)/($C118-$C117),"")</f>
        <v/>
      </c>
      <c r="U117" s="14" t="str">
        <f aca="false">IF(AND($A117=$A118,ISNUMBER(N117),ISNUMBER(N118)),(N118-N117)/($C118-$C117),"")</f>
        <v/>
      </c>
      <c r="V117" s="13" t="n">
        <f aca="false">IF(ISNUMBER(F117),ROUND(F117,0),"")</f>
        <v>46</v>
      </c>
      <c r="W117" s="13" t="n">
        <f aca="false">IF(ISNUMBER(J117),ROUND(J117,0),"")</f>
        <v>22</v>
      </c>
      <c r="X117" s="13" t="n">
        <f aca="false">IF(ISNUMBER(N117),ROUND(N117,0),"")</f>
        <v>75</v>
      </c>
      <c r="Y117" s="10" t="str">
        <f aca="false">IF(AND($A117=$A118,V117=100,V118=100),"full access","")</f>
        <v/>
      </c>
      <c r="Z117" s="10" t="str">
        <f aca="false">IF(AND($A117=$A118,W117=100,W118=100),"full access","")</f>
        <v/>
      </c>
      <c r="AA117" s="10" t="str">
        <f aca="false">IF(AND($A117=$A118,X117=100,X118=100),"full access","")</f>
        <v/>
      </c>
      <c r="AB117" s="14" t="str">
        <f aca="false">IF(AND(ISNUMBER(T117),ISNUMBER(U117)),T117-U117,"")</f>
        <v/>
      </c>
    </row>
    <row r="118" customFormat="false" ht="15" hidden="false" customHeight="false" outlineLevel="0" collapsed="false">
      <c r="A118" s="4" t="s">
        <v>141</v>
      </c>
      <c r="B118" s="4" t="str">
        <f aca="false">IFERROR(INDEX('Region Lookup'!$B$2:$B$233,MATCH(A118,'Region Lookup'!$A$2:$A$233,0)),"Not found")</f>
        <v>Europe &amp; Central Asia</v>
      </c>
      <c r="C118" s="4" t="n">
        <v>2015</v>
      </c>
      <c r="D118" s="6" t="n">
        <v>5688.694824</v>
      </c>
      <c r="E118" s="7" t="n">
        <v>87.52600098</v>
      </c>
      <c r="F118" s="7" t="n">
        <v>99.99999785</v>
      </c>
      <c r="G118" s="7" t="n">
        <v>0</v>
      </c>
      <c r="H118" s="7" t="n">
        <v>2.145840412E-006</v>
      </c>
      <c r="I118" s="7" t="n">
        <v>0</v>
      </c>
      <c r="J118" s="7" t="n">
        <v>100</v>
      </c>
      <c r="K118" s="7" t="n">
        <v>0</v>
      </c>
      <c r="L118" s="7" t="n">
        <v>0</v>
      </c>
      <c r="M118" s="7" t="n">
        <v>0</v>
      </c>
      <c r="N118" s="7" t="n">
        <v>100</v>
      </c>
      <c r="O118" s="7" t="n">
        <v>0</v>
      </c>
      <c r="P118" s="7" t="n">
        <v>0</v>
      </c>
      <c r="Q118" s="7" t="n">
        <v>0</v>
      </c>
      <c r="R118" s="8" t="n">
        <f aca="false">IF($A118=$A119,$C119-$C118,"")</f>
        <v>5</v>
      </c>
      <c r="S118" s="9" t="n">
        <f aca="false">IF(AND($A118=$A119,ISNUMBER(F118),ISNUMBER(F119)),(F119-F118)/($C119-$C118),"")</f>
        <v>6.50000001201079E-007</v>
      </c>
      <c r="T118" s="9" t="n">
        <f aca="false">IF(AND($A118=$A119,ISNUMBER(J118),ISNUMBER(J119)),(J119-J118)/($C119-$C118),"")</f>
        <v>0</v>
      </c>
      <c r="U118" s="9" t="n">
        <f aca="false">IF(AND($A118=$A119,ISNUMBER(N118),ISNUMBER(N119)),(N119-N118)/($C119-$C118),"")</f>
        <v>0</v>
      </c>
      <c r="V118" s="8" t="n">
        <f aca="false">IF(ISNUMBER(F118),ROUND(F118,0),"")</f>
        <v>100</v>
      </c>
      <c r="W118" s="8" t="n">
        <f aca="false">IF(ISNUMBER(J118),ROUND(J118,0),"")</f>
        <v>100</v>
      </c>
      <c r="X118" s="8" t="n">
        <f aca="false">IF(ISNUMBER(N118),ROUND(N118,0),"")</f>
        <v>100</v>
      </c>
      <c r="Y118" s="4" t="str">
        <f aca="false">IF(AND($A118=$A119,V118=100,V119=100),"full access","")</f>
        <v>full access</v>
      </c>
      <c r="Z118" s="4" t="str">
        <f aca="false">IF(AND($A118=$A119,W118=100,W119=100),"full access","")</f>
        <v>full access</v>
      </c>
      <c r="AA118" s="4" t="str">
        <f aca="false">IF(AND($A118=$A119,X118=100,X119=100),"full access","")</f>
        <v>full access</v>
      </c>
      <c r="AB118" s="9" t="n">
        <f aca="false">IF(AND(ISNUMBER(T118),ISNUMBER(U118)),T118-U118,"")</f>
        <v>0</v>
      </c>
    </row>
    <row r="119" customFormat="false" ht="15" hidden="false" customHeight="false" outlineLevel="0" collapsed="false">
      <c r="A119" s="4" t="s">
        <v>141</v>
      </c>
      <c r="B119" s="4" t="str">
        <f aca="false">IFERROR(INDEX('Region Lookup'!$B$2:$B$233,MATCH(A119,'Region Lookup'!$A$2:$A$233,0)),"Not found")</f>
        <v>Europe &amp; Central Asia</v>
      </c>
      <c r="C119" s="4" t="n">
        <v>2020</v>
      </c>
      <c r="D119" s="6" t="n">
        <v>5792.203125</v>
      </c>
      <c r="E119" s="7" t="n">
        <v>88.11600494</v>
      </c>
      <c r="F119" s="7" t="n">
        <v>100.0000011</v>
      </c>
      <c r="G119" s="7" t="n">
        <v>0</v>
      </c>
      <c r="H119" s="7" t="n">
        <v>0</v>
      </c>
      <c r="I119" s="7" t="n">
        <v>0</v>
      </c>
      <c r="J119" s="7" t="n">
        <v>100</v>
      </c>
      <c r="K119" s="7" t="n">
        <v>0</v>
      </c>
      <c r="L119" s="7" t="n">
        <v>0</v>
      </c>
      <c r="M119" s="7" t="n">
        <v>0</v>
      </c>
      <c r="N119" s="7" t="n">
        <v>100</v>
      </c>
      <c r="O119" s="7" t="n">
        <v>0</v>
      </c>
      <c r="P119" s="7" t="n">
        <v>0</v>
      </c>
      <c r="Q119" s="7" t="n">
        <v>0</v>
      </c>
      <c r="R119" s="8" t="str">
        <f aca="false">IF($A119=$A120,$C120-$C119,"")</f>
        <v/>
      </c>
      <c r="S119" s="9" t="str">
        <f aca="false">IF(AND($A119=$A120,ISNUMBER(F119),ISNUMBER(F120)),(F120-F119)/($C120-$C119),"")</f>
        <v/>
      </c>
      <c r="T119" s="9" t="str">
        <f aca="false">IF(AND($A119=$A120,ISNUMBER(J119),ISNUMBER(J120)),(J120-J119)/($C120-$C119),"")</f>
        <v/>
      </c>
      <c r="U119" s="9" t="str">
        <f aca="false">IF(AND($A119=$A120,ISNUMBER(N119),ISNUMBER(N120)),(N120-N119)/($C120-$C119),"")</f>
        <v/>
      </c>
      <c r="V119" s="8" t="n">
        <f aca="false">IF(ISNUMBER(F119),ROUND(F119,0),"")</f>
        <v>100</v>
      </c>
      <c r="W119" s="8" t="n">
        <f aca="false">IF(ISNUMBER(J119),ROUND(J119,0),"")</f>
        <v>100</v>
      </c>
      <c r="X119" s="8" t="n">
        <f aca="false">IF(ISNUMBER(N119),ROUND(N119,0),"")</f>
        <v>100</v>
      </c>
      <c r="Y119" s="4" t="str">
        <f aca="false">IF(AND($A119=$A120,V119=100,V120=100),"full access","")</f>
        <v/>
      </c>
      <c r="Z119" s="4" t="str">
        <f aca="false">IF(AND($A119=$A120,W119=100,W120=100),"full access","")</f>
        <v/>
      </c>
      <c r="AA119" s="4" t="str">
        <f aca="false">IF(AND($A119=$A120,X119=100,X120=100),"full access","")</f>
        <v/>
      </c>
      <c r="AB119" s="9" t="str">
        <f aca="false">IF(AND(ISNUMBER(T119),ISNUMBER(U119)),T119-U119,"")</f>
        <v/>
      </c>
    </row>
    <row r="120" customFormat="false" ht="15" hidden="false" customHeight="false" outlineLevel="0" collapsed="false">
      <c r="A120" s="10" t="s">
        <v>142</v>
      </c>
      <c r="B120" s="10" t="str">
        <f aca="false">IFERROR(INDEX('Region Lookup'!$B$2:$B$233,MATCH(A120,'Region Lookup'!$A$2:$A$233,0)),"Not found")</f>
        <v>Sub-Saharan Africa</v>
      </c>
      <c r="C120" s="10" t="n">
        <v>2015</v>
      </c>
      <c r="D120" s="11" t="n">
        <v>913.9979858</v>
      </c>
      <c r="E120" s="12" t="n">
        <v>77.41699219</v>
      </c>
      <c r="F120" s="12" t="n">
        <v>75.78704503</v>
      </c>
      <c r="G120" s="12" t="n">
        <v>14.75417119</v>
      </c>
      <c r="H120" s="12" t="n">
        <v>7.39492395</v>
      </c>
      <c r="I120" s="12" t="n">
        <v>2.063859825</v>
      </c>
      <c r="J120" s="12" t="n">
        <v>48.75920509</v>
      </c>
      <c r="K120" s="12" t="n">
        <v>12.43877762</v>
      </c>
      <c r="L120" s="12" t="n">
        <v>30.37700254</v>
      </c>
      <c r="M120" s="12" t="n">
        <v>8.425014754</v>
      </c>
      <c r="N120" s="12" t="n">
        <v>83.67122985</v>
      </c>
      <c r="O120" s="12" t="n">
        <v>15.42958572</v>
      </c>
      <c r="P120" s="12" t="n">
        <v>0.6909116479</v>
      </c>
      <c r="Q120" s="12" t="n">
        <v>0.2082727854</v>
      </c>
      <c r="R120" s="13" t="n">
        <f aca="false">IF($A120=$A121,$C121-$C120,"")</f>
        <v>5</v>
      </c>
      <c r="S120" s="14" t="n">
        <f aca="false">IF(AND($A120=$A121,ISNUMBER(F120),ISNUMBER(F121)),(F121-F120)/($C121-$C120),"")</f>
        <v>0.0525750359999989</v>
      </c>
      <c r="T120" s="14" t="n">
        <f aca="false">IF(AND($A120=$A121,ISNUMBER(J120),ISNUMBER(J121)),(J121-J120)/($C121-$C120),"")</f>
        <v>-0.295694432000001</v>
      </c>
      <c r="U120" s="14" t="n">
        <f aca="false">IF(AND($A120=$A121,ISNUMBER(N120),ISNUMBER(N121)),(N121-N120)/($C121-$C120),"")</f>
        <v>0.0927570159999988</v>
      </c>
      <c r="V120" s="13" t="n">
        <f aca="false">IF(ISNUMBER(F120),ROUND(F120,0),"")</f>
        <v>76</v>
      </c>
      <c r="W120" s="13" t="n">
        <f aca="false">IF(ISNUMBER(J120),ROUND(J120,0),"")</f>
        <v>49</v>
      </c>
      <c r="X120" s="13" t="n">
        <f aca="false">IF(ISNUMBER(N120),ROUND(N120,0),"")</f>
        <v>84</v>
      </c>
      <c r="Y120" s="10" t="str">
        <f aca="false">IF(AND($A120=$A121,V120=100,V121=100),"full access","")</f>
        <v/>
      </c>
      <c r="Z120" s="10" t="str">
        <f aca="false">IF(AND($A120=$A121,W120=100,W121=100),"full access","")</f>
        <v/>
      </c>
      <c r="AA120" s="10" t="str">
        <f aca="false">IF(AND($A120=$A121,X120=100,X121=100),"full access","")</f>
        <v/>
      </c>
      <c r="AB120" s="14" t="n">
        <f aca="false">IF(AND(ISNUMBER(T120),ISNUMBER(U120)),T120-U120,"")</f>
        <v>-0.388451447999999</v>
      </c>
    </row>
    <row r="121" customFormat="false" ht="15" hidden="false" customHeight="false" outlineLevel="0" collapsed="false">
      <c r="A121" s="10" t="s">
        <v>142</v>
      </c>
      <c r="B121" s="10" t="str">
        <f aca="false">IFERROR(INDEX('Region Lookup'!$B$2:$B$233,MATCH(A121,'Region Lookup'!$A$2:$A$233,0)),"Not found")</f>
        <v>Sub-Saharan Africa</v>
      </c>
      <c r="C121" s="10" t="n">
        <v>2020</v>
      </c>
      <c r="D121" s="11" t="n">
        <v>988.0020142</v>
      </c>
      <c r="E121" s="12" t="n">
        <v>78.06199646</v>
      </c>
      <c r="F121" s="12" t="n">
        <v>76.04992021</v>
      </c>
      <c r="G121" s="12" t="n">
        <v>14.7574817</v>
      </c>
      <c r="H121" s="12" t="n">
        <v>7.015876051</v>
      </c>
      <c r="I121" s="12" t="n">
        <v>2.176722038</v>
      </c>
      <c r="J121" s="12" t="n">
        <v>47.28073293</v>
      </c>
      <c r="K121" s="12" t="n">
        <v>12.06161014</v>
      </c>
      <c r="L121" s="12" t="n">
        <v>30.73550468</v>
      </c>
      <c r="M121" s="12" t="n">
        <v>9.922152249</v>
      </c>
      <c r="N121" s="12" t="n">
        <v>84.13501493</v>
      </c>
      <c r="O121" s="12" t="n">
        <v>15.51511107</v>
      </c>
      <c r="P121" s="12" t="n">
        <v>0.3498740029</v>
      </c>
      <c r="Q121" s="12" t="n">
        <v>0</v>
      </c>
      <c r="R121" s="13" t="str">
        <f aca="false">IF($A121=$A122,$C122-$C121,"")</f>
        <v/>
      </c>
      <c r="S121" s="14" t="str">
        <f aca="false">IF(AND($A121=$A122,ISNUMBER(F121),ISNUMBER(F122)),(F122-F121)/($C122-$C121),"")</f>
        <v/>
      </c>
      <c r="T121" s="14" t="str">
        <f aca="false">IF(AND($A121=$A122,ISNUMBER(J121),ISNUMBER(J122)),(J122-J121)/($C122-$C121),"")</f>
        <v/>
      </c>
      <c r="U121" s="14" t="str">
        <f aca="false">IF(AND($A121=$A122,ISNUMBER(N121),ISNUMBER(N122)),(N122-N121)/($C122-$C121),"")</f>
        <v/>
      </c>
      <c r="V121" s="13" t="n">
        <f aca="false">IF(ISNUMBER(F121),ROUND(F121,0),"")</f>
        <v>76</v>
      </c>
      <c r="W121" s="13" t="n">
        <f aca="false">IF(ISNUMBER(J121),ROUND(J121,0),"")</f>
        <v>47</v>
      </c>
      <c r="X121" s="13" t="n">
        <f aca="false">IF(ISNUMBER(N121),ROUND(N121,0),"")</f>
        <v>84</v>
      </c>
      <c r="Y121" s="10" t="str">
        <f aca="false">IF(AND($A121=$A122,V121=100,V122=100),"full access","")</f>
        <v/>
      </c>
      <c r="Z121" s="10" t="str">
        <f aca="false">IF(AND($A121=$A122,W121=100,W122=100),"full access","")</f>
        <v/>
      </c>
      <c r="AA121" s="10" t="str">
        <f aca="false">IF(AND($A121=$A122,X121=100,X122=100),"full access","")</f>
        <v/>
      </c>
      <c r="AB121" s="14" t="str">
        <f aca="false">IF(AND(ISNUMBER(T121),ISNUMBER(U121)),T121-U121,"")</f>
        <v/>
      </c>
    </row>
    <row r="122" customFormat="false" ht="15" hidden="false" customHeight="false" outlineLevel="0" collapsed="false">
      <c r="A122" s="4" t="s">
        <v>143</v>
      </c>
      <c r="B122" s="4" t="str">
        <f aca="false">IFERROR(INDEX('Region Lookup'!$B$2:$B$233,MATCH(A122,'Region Lookup'!$A$2:$A$233,0)),"Not found")</f>
        <v>Latin America &amp; Caribbean</v>
      </c>
      <c r="C122" s="4" t="n">
        <v>2015</v>
      </c>
      <c r="D122" s="6" t="n">
        <v>71.17500305</v>
      </c>
      <c r="E122" s="7" t="n">
        <v>69.57899475</v>
      </c>
      <c r="F122" s="7" t="n">
        <v>95.42065606</v>
      </c>
      <c r="G122" s="7" t="n">
        <v>0</v>
      </c>
      <c r="H122" s="7" t="n">
        <v>4.579343937</v>
      </c>
      <c r="I122" s="7" t="n">
        <v>0</v>
      </c>
      <c r="J122" s="7"/>
      <c r="K122" s="7"/>
      <c r="L122" s="7"/>
      <c r="M122" s="7"/>
      <c r="N122" s="7"/>
      <c r="O122" s="7"/>
      <c r="P122" s="7"/>
      <c r="Q122" s="7"/>
      <c r="R122" s="8" t="n">
        <f aca="false">IF($A122=$A123,$C123-$C122,"")</f>
        <v>2</v>
      </c>
      <c r="S122" s="9" t="n">
        <f aca="false">IF(AND($A122=$A123,ISNUMBER(F122),ISNUMBER(F123)),(F123-F122)/($C123-$C122),"")</f>
        <v>0</v>
      </c>
      <c r="T122" s="9" t="str">
        <f aca="false">IF(AND($A122=$A123,ISNUMBER(J122),ISNUMBER(J123)),(J123-J122)/($C123-$C122),"")</f>
        <v/>
      </c>
      <c r="U122" s="9" t="str">
        <f aca="false">IF(AND($A122=$A123,ISNUMBER(N122),ISNUMBER(N123)),(N123-N122)/($C123-$C122),"")</f>
        <v/>
      </c>
      <c r="V122" s="8" t="n">
        <f aca="false">IF(ISNUMBER(F122),ROUND(F122,0),"")</f>
        <v>95</v>
      </c>
      <c r="W122" s="8" t="str">
        <f aca="false">IF(ISNUMBER(J122),ROUND(J122,0),"")</f>
        <v/>
      </c>
      <c r="X122" s="8" t="str">
        <f aca="false">IF(ISNUMBER(N122),ROUND(N122,0),"")</f>
        <v/>
      </c>
      <c r="Y122" s="4" t="str">
        <f aca="false">IF(AND($A122=$A123,V122=100,V123=100),"full access","")</f>
        <v/>
      </c>
      <c r="Z122" s="4" t="str">
        <f aca="false">IF(AND($A122=$A123,W122=100,W123=100),"full access","")</f>
        <v/>
      </c>
      <c r="AA122" s="4" t="str">
        <f aca="false">IF(AND($A122=$A123,X122=100,X123=100),"full access","")</f>
        <v/>
      </c>
      <c r="AB122" s="9" t="str">
        <f aca="false">IF(AND(ISNUMBER(T122),ISNUMBER(U122)),T122-U122,"")</f>
        <v/>
      </c>
    </row>
    <row r="123" customFormat="false" ht="15" hidden="false" customHeight="false" outlineLevel="0" collapsed="false">
      <c r="A123" s="4" t="s">
        <v>143</v>
      </c>
      <c r="B123" s="4" t="str">
        <f aca="false">IFERROR(INDEX('Region Lookup'!$B$2:$B$233,MATCH(A123,'Region Lookup'!$A$2:$A$233,0)),"Not found")</f>
        <v>Latin America &amp; Caribbean</v>
      </c>
      <c r="C123" s="4" t="n">
        <v>2017</v>
      </c>
      <c r="D123" s="6" t="n">
        <v>71.45999908</v>
      </c>
      <c r="E123" s="7" t="n">
        <v>70.18099976</v>
      </c>
      <c r="F123" s="7" t="n">
        <v>95.42065606</v>
      </c>
      <c r="G123" s="7" t="n">
        <v>0</v>
      </c>
      <c r="H123" s="7" t="n">
        <v>4.579343937</v>
      </c>
      <c r="I123" s="7" t="n">
        <v>0</v>
      </c>
      <c r="J123" s="7"/>
      <c r="K123" s="7"/>
      <c r="L123" s="7"/>
      <c r="M123" s="7"/>
      <c r="N123" s="7"/>
      <c r="O123" s="7"/>
      <c r="P123" s="7"/>
      <c r="Q123" s="7"/>
      <c r="R123" s="8" t="str">
        <f aca="false">IF($A123=$A124,$C124-$C123,"")</f>
        <v/>
      </c>
      <c r="S123" s="9" t="str">
        <f aca="false">IF(AND($A123=$A124,ISNUMBER(F123),ISNUMBER(F124)),(F124-F123)/($C124-$C123),"")</f>
        <v/>
      </c>
      <c r="T123" s="9" t="str">
        <f aca="false">IF(AND($A123=$A124,ISNUMBER(J123),ISNUMBER(J124)),(J124-J123)/($C124-$C123),"")</f>
        <v/>
      </c>
      <c r="U123" s="9" t="str">
        <f aca="false">IF(AND($A123=$A124,ISNUMBER(N123),ISNUMBER(N124)),(N124-N123)/($C124-$C123),"")</f>
        <v/>
      </c>
      <c r="V123" s="8" t="n">
        <f aca="false">IF(ISNUMBER(F123),ROUND(F123,0),"")</f>
        <v>95</v>
      </c>
      <c r="W123" s="8" t="str">
        <f aca="false">IF(ISNUMBER(J123),ROUND(J123,0),"")</f>
        <v/>
      </c>
      <c r="X123" s="8" t="str">
        <f aca="false">IF(ISNUMBER(N123),ROUND(N123,0),"")</f>
        <v/>
      </c>
      <c r="Y123" s="4" t="str">
        <f aca="false">IF(AND($A123=$A124,V123=100,V124=100),"full access","")</f>
        <v/>
      </c>
      <c r="Z123" s="4" t="str">
        <f aca="false">IF(AND($A123=$A124,W123=100,W124=100),"full access","")</f>
        <v/>
      </c>
      <c r="AA123" s="4" t="str">
        <f aca="false">IF(AND($A123=$A124,X123=100,X124=100),"full access","")</f>
        <v/>
      </c>
      <c r="AB123" s="9" t="str">
        <f aca="false">IF(AND(ISNUMBER(T123),ISNUMBER(U123)),T123-U123,"")</f>
        <v/>
      </c>
    </row>
    <row r="124" customFormat="false" ht="15" hidden="false" customHeight="false" outlineLevel="0" collapsed="false">
      <c r="A124" s="10" t="s">
        <v>144</v>
      </c>
      <c r="B124" s="10" t="str">
        <f aca="false">IFERROR(INDEX('Region Lookup'!$B$2:$B$233,MATCH(A124,'Region Lookup'!$A$2:$A$233,0)),"Not found")</f>
        <v>Latin America &amp; Caribbean</v>
      </c>
      <c r="C124" s="10" t="n">
        <v>2015</v>
      </c>
      <c r="D124" s="11" t="n">
        <v>10281.6748</v>
      </c>
      <c r="E124" s="12" t="n">
        <v>78.56600189</v>
      </c>
      <c r="F124" s="12" t="n">
        <v>96.0993385</v>
      </c>
      <c r="G124" s="12" t="n">
        <v>0.6952122155</v>
      </c>
      <c r="H124" s="12" t="n">
        <v>1.550594498</v>
      </c>
      <c r="I124" s="12" t="n">
        <v>1.654854791</v>
      </c>
      <c r="J124" s="12" t="n">
        <v>89.21104378</v>
      </c>
      <c r="K124" s="12" t="n">
        <v>1.822877161</v>
      </c>
      <c r="L124" s="12" t="n">
        <v>2.441888623</v>
      </c>
      <c r="M124" s="12" t="n">
        <v>6.52419044</v>
      </c>
      <c r="N124" s="12" t="n">
        <v>97.97856981</v>
      </c>
      <c r="O124" s="12" t="n">
        <v>0.3875681084</v>
      </c>
      <c r="P124" s="12" t="n">
        <v>1.307435937</v>
      </c>
      <c r="Q124" s="12" t="n">
        <v>0.3264261435</v>
      </c>
      <c r="R124" s="13" t="n">
        <f aca="false">IF($A124=$A125,$C125-$C124,"")</f>
        <v>5</v>
      </c>
      <c r="S124" s="14" t="n">
        <f aca="false">IF(AND($A124=$A125,ISNUMBER(F124),ISNUMBER(F125)),(F125-F124)/($C125-$C124),"")</f>
        <v>0.117494683999999</v>
      </c>
      <c r="T124" s="14" t="n">
        <f aca="false">IF(AND($A124=$A125,ISNUMBER(J124),ISNUMBER(J125)),(J125-J124)/($C125-$C124),"")</f>
        <v>0.218684118000002</v>
      </c>
      <c r="U124" s="14" t="n">
        <f aca="false">IF(AND($A124=$A125,ISNUMBER(N124),ISNUMBER(N125)),(N125-N124)/($C125-$C124),"")</f>
        <v>0.0116643540000013</v>
      </c>
      <c r="V124" s="13" t="n">
        <f aca="false">IF(ISNUMBER(F124),ROUND(F124,0),"")</f>
        <v>96</v>
      </c>
      <c r="W124" s="13" t="n">
        <f aca="false">IF(ISNUMBER(J124),ROUND(J124,0),"")</f>
        <v>89</v>
      </c>
      <c r="X124" s="13" t="n">
        <f aca="false">IF(ISNUMBER(N124),ROUND(N124,0),"")</f>
        <v>98</v>
      </c>
      <c r="Y124" s="10" t="str">
        <f aca="false">IF(AND($A124=$A125,V124=100,V125=100),"full access","")</f>
        <v/>
      </c>
      <c r="Z124" s="10" t="str">
        <f aca="false">IF(AND($A124=$A125,W124=100,W125=100),"full access","")</f>
        <v/>
      </c>
      <c r="AA124" s="10" t="str">
        <f aca="false">IF(AND($A124=$A125,X124=100,X125=100),"full access","")</f>
        <v/>
      </c>
      <c r="AB124" s="14" t="n">
        <f aca="false">IF(AND(ISNUMBER(T124),ISNUMBER(U124)),T124-U124,"")</f>
        <v>0.207019764</v>
      </c>
    </row>
    <row r="125" customFormat="false" ht="15" hidden="false" customHeight="false" outlineLevel="0" collapsed="false">
      <c r="A125" s="10" t="s">
        <v>144</v>
      </c>
      <c r="B125" s="10" t="str">
        <f aca="false">IFERROR(INDEX('Region Lookup'!$B$2:$B$233,MATCH(A125,'Region Lookup'!$A$2:$A$233,0)),"Not found")</f>
        <v>Latin America &amp; Caribbean</v>
      </c>
      <c r="C125" s="10" t="n">
        <v>2020</v>
      </c>
      <c r="D125" s="11" t="n">
        <v>10847.9043</v>
      </c>
      <c r="E125" s="12" t="n">
        <v>82.54000092</v>
      </c>
      <c r="F125" s="12" t="n">
        <v>96.68681192</v>
      </c>
      <c r="G125" s="12" t="n">
        <v>0.4670386504</v>
      </c>
      <c r="H125" s="12" t="n">
        <v>1.269428783</v>
      </c>
      <c r="I125" s="12" t="n">
        <v>1.576720644</v>
      </c>
      <c r="J125" s="12" t="n">
        <v>90.30446437</v>
      </c>
      <c r="K125" s="12" t="n">
        <v>1.385315508</v>
      </c>
      <c r="L125" s="12" t="n">
        <v>1.115118127</v>
      </c>
      <c r="M125" s="12" t="n">
        <v>7.195101991</v>
      </c>
      <c r="N125" s="12" t="n">
        <v>98.03689158</v>
      </c>
      <c r="O125" s="12" t="n">
        <v>0.2727920359</v>
      </c>
      <c r="P125" s="12" t="n">
        <v>1.302073396</v>
      </c>
      <c r="Q125" s="12" t="n">
        <v>0.3882429922</v>
      </c>
      <c r="R125" s="13" t="str">
        <f aca="false">IF($A125=$A126,$C126-$C125,"")</f>
        <v/>
      </c>
      <c r="S125" s="14" t="str">
        <f aca="false">IF(AND($A125=$A126,ISNUMBER(F125),ISNUMBER(F126)),(F126-F125)/($C126-$C125),"")</f>
        <v/>
      </c>
      <c r="T125" s="14" t="str">
        <f aca="false">IF(AND($A125=$A126,ISNUMBER(J125),ISNUMBER(J126)),(J126-J125)/($C126-$C125),"")</f>
        <v/>
      </c>
      <c r="U125" s="14" t="str">
        <f aca="false">IF(AND($A125=$A126,ISNUMBER(N125),ISNUMBER(N126)),(N126-N125)/($C126-$C125),"")</f>
        <v/>
      </c>
      <c r="V125" s="13" t="n">
        <f aca="false">IF(ISNUMBER(F125),ROUND(F125,0),"")</f>
        <v>97</v>
      </c>
      <c r="W125" s="13" t="n">
        <f aca="false">IF(ISNUMBER(J125),ROUND(J125,0),"")</f>
        <v>90</v>
      </c>
      <c r="X125" s="13" t="n">
        <f aca="false">IF(ISNUMBER(N125),ROUND(N125,0),"")</f>
        <v>98</v>
      </c>
      <c r="Y125" s="10" t="str">
        <f aca="false">IF(AND($A125=$A126,V125=100,V126=100),"full access","")</f>
        <v/>
      </c>
      <c r="Z125" s="10" t="str">
        <f aca="false">IF(AND($A125=$A126,W125=100,W126=100),"full access","")</f>
        <v/>
      </c>
      <c r="AA125" s="10" t="str">
        <f aca="false">IF(AND($A125=$A126,X125=100,X126=100),"full access","")</f>
        <v/>
      </c>
      <c r="AB125" s="14" t="str">
        <f aca="false">IF(AND(ISNUMBER(T125),ISNUMBER(U125)),T125-U125,"")</f>
        <v/>
      </c>
    </row>
    <row r="126" customFormat="false" ht="15" hidden="false" customHeight="false" outlineLevel="0" collapsed="false">
      <c r="A126" s="4" t="s">
        <v>145</v>
      </c>
      <c r="B126" s="4" t="str">
        <f aca="false">IFERROR(INDEX('Region Lookup'!$B$2:$B$233,MATCH(A126,'Region Lookup'!$A$2:$A$233,0)),"Not found")</f>
        <v>Latin America &amp; Caribbean</v>
      </c>
      <c r="C126" s="4" t="n">
        <v>2015</v>
      </c>
      <c r="D126" s="6" t="n">
        <v>16212.02246</v>
      </c>
      <c r="E126" s="7" t="n">
        <v>63.39799881</v>
      </c>
      <c r="F126" s="7" t="n">
        <v>93.0637795</v>
      </c>
      <c r="G126" s="7" t="n">
        <v>0.1997601763</v>
      </c>
      <c r="H126" s="7" t="n">
        <v>3.119565114</v>
      </c>
      <c r="I126" s="7" t="n">
        <v>3.616895212</v>
      </c>
      <c r="J126" s="7" t="n">
        <v>82.55248195</v>
      </c>
      <c r="K126" s="7" t="n">
        <v>0.445629255</v>
      </c>
      <c r="L126" s="7" t="n">
        <v>7.379055031</v>
      </c>
      <c r="M126" s="7" t="n">
        <v>9.62283376</v>
      </c>
      <c r="N126" s="7" t="n">
        <v>99.1323392</v>
      </c>
      <c r="O126" s="7" t="n">
        <v>0.0578108902</v>
      </c>
      <c r="P126" s="7" t="n">
        <v>0.6604045069</v>
      </c>
      <c r="Q126" s="7" t="n">
        <v>0.1494454068</v>
      </c>
      <c r="R126" s="8" t="n">
        <f aca="false">IF($A126=$A127,$C127-$C126,"")</f>
        <v>5</v>
      </c>
      <c r="S126" s="9" t="n">
        <f aca="false">IF(AND($A126=$A127,ISNUMBER(F126),ISNUMBER(F127)),(F127-F126)/($C127-$C126),"")</f>
        <v>0.459196812000002</v>
      </c>
      <c r="T126" s="9" t="n">
        <f aca="false">IF(AND($A126=$A127,ISNUMBER(J126),ISNUMBER(J127)),(J127-J126)/($C127-$C126),"")</f>
        <v>0.899652599999999</v>
      </c>
      <c r="U126" s="9" t="n">
        <f aca="false">IF(AND($A126=$A127,ISNUMBER(N126),ISNUMBER(N127)),(N127-N126)/($C127-$C126),"")</f>
        <v>0.173532159999999</v>
      </c>
      <c r="V126" s="8" t="n">
        <f aca="false">IF(ISNUMBER(F126),ROUND(F126,0),"")</f>
        <v>93</v>
      </c>
      <c r="W126" s="8" t="n">
        <f aca="false">IF(ISNUMBER(J126),ROUND(J126,0),"")</f>
        <v>83</v>
      </c>
      <c r="X126" s="8" t="n">
        <f aca="false">IF(ISNUMBER(N126),ROUND(N126,0),"")</f>
        <v>99</v>
      </c>
      <c r="Y126" s="4" t="str">
        <f aca="false">IF(AND($A126=$A127,V126=100,V127=100),"full access","")</f>
        <v/>
      </c>
      <c r="Z126" s="4" t="str">
        <f aca="false">IF(AND($A126=$A127,W126=100,W127=100),"full access","")</f>
        <v/>
      </c>
      <c r="AA126" s="4" t="str">
        <f aca="false">IF(AND($A126=$A127,X126=100,X127=100),"full access","")</f>
        <v/>
      </c>
      <c r="AB126" s="9" t="n">
        <f aca="false">IF(AND(ISNUMBER(T126),ISNUMBER(U126)),T126-U126,"")</f>
        <v>0.72612044</v>
      </c>
    </row>
    <row r="127" customFormat="false" ht="15" hidden="false" customHeight="false" outlineLevel="0" collapsed="false">
      <c r="A127" s="4" t="s">
        <v>145</v>
      </c>
      <c r="B127" s="4" t="str">
        <f aca="false">IFERROR(INDEX('Region Lookup'!$B$2:$B$233,MATCH(A127,'Region Lookup'!$A$2:$A$233,0)),"Not found")</f>
        <v>Latin America &amp; Caribbean</v>
      </c>
      <c r="C127" s="4" t="n">
        <v>2020</v>
      </c>
      <c r="D127" s="6" t="n">
        <v>17643.06055</v>
      </c>
      <c r="E127" s="7" t="n">
        <v>64.16600037</v>
      </c>
      <c r="F127" s="7" t="n">
        <v>95.35976356</v>
      </c>
      <c r="G127" s="7" t="n">
        <v>0.003451463449</v>
      </c>
      <c r="H127" s="7" t="n">
        <v>2.604485389</v>
      </c>
      <c r="I127" s="7" t="n">
        <v>2.032299589</v>
      </c>
      <c r="J127" s="7" t="n">
        <v>87.05074495</v>
      </c>
      <c r="K127" s="7" t="n">
        <v>0.009631811022</v>
      </c>
      <c r="L127" s="7" t="n">
        <v>7.26819549</v>
      </c>
      <c r="M127" s="7" t="n">
        <v>5.671427747</v>
      </c>
      <c r="N127" s="7" t="n">
        <v>100</v>
      </c>
      <c r="O127" s="7" t="n">
        <v>0</v>
      </c>
      <c r="P127" s="7" t="n">
        <v>0</v>
      </c>
      <c r="Q127" s="7" t="n">
        <v>0</v>
      </c>
      <c r="R127" s="8" t="str">
        <f aca="false">IF($A127=$A128,$C128-$C127,"")</f>
        <v/>
      </c>
      <c r="S127" s="9" t="str">
        <f aca="false">IF(AND($A127=$A128,ISNUMBER(F127),ISNUMBER(F128)),(F128-F127)/($C128-$C127),"")</f>
        <v/>
      </c>
      <c r="T127" s="9" t="str">
        <f aca="false">IF(AND($A127=$A128,ISNUMBER(J127),ISNUMBER(J128)),(J128-J127)/($C128-$C127),"")</f>
        <v/>
      </c>
      <c r="U127" s="9" t="str">
        <f aca="false">IF(AND($A127=$A128,ISNUMBER(N127),ISNUMBER(N128)),(N128-N127)/($C128-$C127),"")</f>
        <v/>
      </c>
      <c r="V127" s="8" t="n">
        <f aca="false">IF(ISNUMBER(F127),ROUND(F127,0),"")</f>
        <v>95</v>
      </c>
      <c r="W127" s="8" t="n">
        <f aca="false">IF(ISNUMBER(J127),ROUND(J127,0),"")</f>
        <v>87</v>
      </c>
      <c r="X127" s="8" t="n">
        <f aca="false">IF(ISNUMBER(N127),ROUND(N127,0),"")</f>
        <v>100</v>
      </c>
      <c r="Y127" s="4" t="str">
        <f aca="false">IF(AND($A127=$A128,V127=100,V128=100),"full access","")</f>
        <v/>
      </c>
      <c r="Z127" s="4" t="str">
        <f aca="false">IF(AND($A127=$A128,W127=100,W128=100),"full access","")</f>
        <v/>
      </c>
      <c r="AA127" s="4" t="str">
        <f aca="false">IF(AND($A127=$A128,X127=100,X128=100),"full access","")</f>
        <v/>
      </c>
      <c r="AB127" s="9" t="str">
        <f aca="false">IF(AND(ISNUMBER(T127),ISNUMBER(U127)),T127-U127,"")</f>
        <v/>
      </c>
    </row>
    <row r="128" customFormat="false" ht="15" hidden="false" customHeight="false" outlineLevel="0" collapsed="false">
      <c r="A128" s="10" t="s">
        <v>146</v>
      </c>
      <c r="B128" s="10" t="str">
        <f aca="false">IFERROR(INDEX('Region Lookup'!$B$2:$B$233,MATCH(A128,'Region Lookup'!$A$2:$A$233,0)),"Not found")</f>
        <v>Middle East &amp; North Africa</v>
      </c>
      <c r="C128" s="10" t="n">
        <v>2015</v>
      </c>
      <c r="D128" s="11" t="n">
        <v>92442.54688</v>
      </c>
      <c r="E128" s="12" t="n">
        <v>42.78499985</v>
      </c>
      <c r="F128" s="12" t="n">
        <v>99.10671754</v>
      </c>
      <c r="G128" s="12" t="n">
        <v>0.2863725401</v>
      </c>
      <c r="H128" s="12" t="n">
        <v>0.5934398293</v>
      </c>
      <c r="I128" s="12" t="n">
        <v>0.01347009398</v>
      </c>
      <c r="J128" s="12" t="n">
        <v>98.80187792</v>
      </c>
      <c r="K128" s="12" t="n">
        <v>0.4103462964</v>
      </c>
      <c r="L128" s="12" t="n">
        <v>0.7642328381</v>
      </c>
      <c r="M128" s="12" t="n">
        <v>0.02354294118</v>
      </c>
      <c r="N128" s="12" t="n">
        <v>99.51436973</v>
      </c>
      <c r="O128" s="12" t="n">
        <v>0.1205864308</v>
      </c>
      <c r="P128" s="12" t="n">
        <v>0.3650438422</v>
      </c>
      <c r="Q128" s="12" t="n">
        <v>0</v>
      </c>
      <c r="R128" s="13" t="n">
        <f aca="false">IF($A128=$A129,$C129-$C128,"")</f>
        <v>5</v>
      </c>
      <c r="S128" s="14" t="n">
        <f aca="false">IF(AND($A128=$A129,ISNUMBER(F128),ISNUMBER(F129)),(F129-F128)/($C129-$C128),"")</f>
        <v>0.0666916839999999</v>
      </c>
      <c r="T128" s="14" t="n">
        <f aca="false">IF(AND($A128=$A129,ISNUMBER(J128),ISNUMBER(J129)),(J129-J128)/($C129-$C128),"")</f>
        <v>0.106191446</v>
      </c>
      <c r="U128" s="14" t="n">
        <f aca="false">IF(AND($A128=$A129,ISNUMBER(N128),ISNUMBER(N129)),(N129-N128)/($C129-$C128),"")</f>
        <v>0.0138722739999992</v>
      </c>
      <c r="V128" s="13" t="n">
        <f aca="false">IF(ISNUMBER(F128),ROUND(F128,0),"")</f>
        <v>99</v>
      </c>
      <c r="W128" s="13" t="n">
        <f aca="false">IF(ISNUMBER(J128),ROUND(J128,0),"")</f>
        <v>99</v>
      </c>
      <c r="X128" s="13" t="n">
        <f aca="false">IF(ISNUMBER(N128),ROUND(N128,0),"")</f>
        <v>100</v>
      </c>
      <c r="Y128" s="10" t="str">
        <f aca="false">IF(AND($A128=$A129,V128=100,V129=100),"full access","")</f>
        <v/>
      </c>
      <c r="Z128" s="10" t="str">
        <f aca="false">IF(AND($A128=$A129,W128=100,W129=100),"full access","")</f>
        <v/>
      </c>
      <c r="AA128" s="10" t="str">
        <f aca="false">IF(AND($A128=$A129,X128=100,X129=100),"full access","")</f>
        <v>full access</v>
      </c>
      <c r="AB128" s="14" t="n">
        <f aca="false">IF(AND(ISNUMBER(T128),ISNUMBER(U128)),T128-U128,"")</f>
        <v>0.0923191720000006</v>
      </c>
    </row>
    <row r="129" customFormat="false" ht="15" hidden="false" customHeight="false" outlineLevel="0" collapsed="false">
      <c r="A129" s="10" t="s">
        <v>146</v>
      </c>
      <c r="B129" s="10" t="str">
        <f aca="false">IFERROR(INDEX('Region Lookup'!$B$2:$B$233,MATCH(A129,'Region Lookup'!$A$2:$A$233,0)),"Not found")</f>
        <v>Middle East &amp; North Africa</v>
      </c>
      <c r="C129" s="10" t="n">
        <v>2020</v>
      </c>
      <c r="D129" s="11" t="n">
        <v>102334.4063</v>
      </c>
      <c r="E129" s="12" t="n">
        <v>42.78300095</v>
      </c>
      <c r="F129" s="12" t="n">
        <v>99.44017596</v>
      </c>
      <c r="G129" s="12" t="n">
        <v>0.2376091086</v>
      </c>
      <c r="H129" s="12" t="n">
        <v>0.3222149265</v>
      </c>
      <c r="I129" s="12" t="n">
        <v>0</v>
      </c>
      <c r="J129" s="12" t="n">
        <v>99.33283515</v>
      </c>
      <c r="K129" s="12" t="n">
        <v>0.3359418224</v>
      </c>
      <c r="L129" s="12" t="n">
        <v>0.3312230319</v>
      </c>
      <c r="M129" s="12" t="n">
        <v>0</v>
      </c>
      <c r="N129" s="12" t="n">
        <v>99.5837311</v>
      </c>
      <c r="O129" s="12" t="n">
        <v>0.1061012067</v>
      </c>
      <c r="P129" s="12" t="n">
        <v>0.3101676943</v>
      </c>
      <c r="Q129" s="12" t="n">
        <v>0</v>
      </c>
      <c r="R129" s="13" t="str">
        <f aca="false">IF($A129=$A130,$C130-$C129,"")</f>
        <v/>
      </c>
      <c r="S129" s="14" t="str">
        <f aca="false">IF(AND($A129=$A130,ISNUMBER(F129),ISNUMBER(F130)),(F130-F129)/($C130-$C129),"")</f>
        <v/>
      </c>
      <c r="T129" s="14" t="str">
        <f aca="false">IF(AND($A129=$A130,ISNUMBER(J129),ISNUMBER(J130)),(J130-J129)/($C130-$C129),"")</f>
        <v/>
      </c>
      <c r="U129" s="14" t="str">
        <f aca="false">IF(AND($A129=$A130,ISNUMBER(N129),ISNUMBER(N130)),(N130-N129)/($C130-$C129),"")</f>
        <v/>
      </c>
      <c r="V129" s="13" t="n">
        <f aca="false">IF(ISNUMBER(F129),ROUND(F129,0),"")</f>
        <v>99</v>
      </c>
      <c r="W129" s="13" t="n">
        <f aca="false">IF(ISNUMBER(J129),ROUND(J129,0),"")</f>
        <v>99</v>
      </c>
      <c r="X129" s="13" t="n">
        <f aca="false">IF(ISNUMBER(N129),ROUND(N129,0),"")</f>
        <v>100</v>
      </c>
      <c r="Y129" s="10" t="str">
        <f aca="false">IF(AND($A129=$A130,V129=100,V130=100),"full access","")</f>
        <v/>
      </c>
      <c r="Z129" s="10" t="str">
        <f aca="false">IF(AND($A129=$A130,W129=100,W130=100),"full access","")</f>
        <v/>
      </c>
      <c r="AA129" s="10" t="str">
        <f aca="false">IF(AND($A129=$A130,X129=100,X130=100),"full access","")</f>
        <v/>
      </c>
      <c r="AB129" s="14" t="str">
        <f aca="false">IF(AND(ISNUMBER(T129),ISNUMBER(U129)),T129-U129,"")</f>
        <v/>
      </c>
    </row>
    <row r="130" customFormat="false" ht="15" hidden="false" customHeight="false" outlineLevel="0" collapsed="false">
      <c r="A130" s="4" t="s">
        <v>147</v>
      </c>
      <c r="B130" s="4" t="str">
        <f aca="false">IFERROR(INDEX('Region Lookup'!$B$2:$B$233,MATCH(A130,'Region Lookup'!$A$2:$A$233,0)),"Not found")</f>
        <v>Latin America &amp; Caribbean</v>
      </c>
      <c r="C130" s="4" t="n">
        <v>2015</v>
      </c>
      <c r="D130" s="6" t="n">
        <v>6325.121094</v>
      </c>
      <c r="E130" s="7" t="n">
        <v>69.69999695</v>
      </c>
      <c r="F130" s="7" t="n">
        <v>95.56213774</v>
      </c>
      <c r="G130" s="7" t="n">
        <v>0.580479777</v>
      </c>
      <c r="H130" s="7" t="n">
        <v>1.161950545</v>
      </c>
      <c r="I130" s="7" t="n">
        <v>2.695431942</v>
      </c>
      <c r="J130" s="7" t="n">
        <v>87.96121432</v>
      </c>
      <c r="K130" s="7" t="n">
        <v>1.734743718</v>
      </c>
      <c r="L130" s="7" t="n">
        <v>2.481033956</v>
      </c>
      <c r="M130" s="7" t="n">
        <v>7.823008005</v>
      </c>
      <c r="N130" s="7" t="n">
        <v>98.86641785</v>
      </c>
      <c r="O130" s="7" t="n">
        <v>0.07869797757</v>
      </c>
      <c r="P130" s="7" t="n">
        <v>0.5885128896</v>
      </c>
      <c r="Q130" s="7" t="n">
        <v>0.4663712861</v>
      </c>
      <c r="R130" s="8" t="n">
        <f aca="false">IF($A130=$A131,$C131-$C130,"")</f>
        <v>5</v>
      </c>
      <c r="S130" s="9" t="n">
        <f aca="false">IF(AND($A130=$A131,ISNUMBER(F130),ISNUMBER(F131)),(F131-F130)/($C131-$C130),"")</f>
        <v>0.476887533999999</v>
      </c>
      <c r="T130" s="9" t="n">
        <f aca="false">IF(AND($A130=$A131,ISNUMBER(J130),ISNUMBER(J131)),(J131-J130)/($C131-$C130),"")</f>
        <v>1.098636152</v>
      </c>
      <c r="U130" s="9" t="n">
        <f aca="false">IF(AND($A130=$A131,ISNUMBER(N130),ISNUMBER(N131)),(N131-N130)/($C131-$C130),"")</f>
        <v>0.140890431999998</v>
      </c>
      <c r="V130" s="8" t="n">
        <f aca="false">IF(ISNUMBER(F130),ROUND(F130,0),"")</f>
        <v>96</v>
      </c>
      <c r="W130" s="8" t="n">
        <f aca="false">IF(ISNUMBER(J130),ROUND(J130,0),"")</f>
        <v>88</v>
      </c>
      <c r="X130" s="8" t="n">
        <f aca="false">IF(ISNUMBER(N130),ROUND(N130,0),"")</f>
        <v>99</v>
      </c>
      <c r="Y130" s="4" t="str">
        <f aca="false">IF(AND($A130=$A131,V130=100,V131=100),"full access","")</f>
        <v/>
      </c>
      <c r="Z130" s="4" t="str">
        <f aca="false">IF(AND($A130=$A131,W130=100,W131=100),"full access","")</f>
        <v/>
      </c>
      <c r="AA130" s="4" t="str">
        <f aca="false">IF(AND($A130=$A131,X130=100,X131=100),"full access","")</f>
        <v/>
      </c>
      <c r="AB130" s="9" t="n">
        <f aca="false">IF(AND(ISNUMBER(T130),ISNUMBER(U130)),T130-U130,"")</f>
        <v>0.957745720000003</v>
      </c>
    </row>
    <row r="131" customFormat="false" ht="15" hidden="false" customHeight="false" outlineLevel="0" collapsed="false">
      <c r="A131" s="4" t="s">
        <v>147</v>
      </c>
      <c r="B131" s="4" t="str">
        <f aca="false">IFERROR(INDEX('Region Lookup'!$B$2:$B$233,MATCH(A131,'Region Lookup'!$A$2:$A$233,0)),"Not found")</f>
        <v>Latin America &amp; Caribbean</v>
      </c>
      <c r="C131" s="4" t="n">
        <v>2020</v>
      </c>
      <c r="D131" s="6" t="n">
        <v>6486.201172</v>
      </c>
      <c r="E131" s="7" t="n">
        <v>73.44400024</v>
      </c>
      <c r="F131" s="7" t="n">
        <v>97.94657541</v>
      </c>
      <c r="G131" s="7" t="n">
        <v>0.2072632319</v>
      </c>
      <c r="H131" s="7" t="n">
        <v>0.3151739969</v>
      </c>
      <c r="I131" s="7" t="n">
        <v>1.530987366</v>
      </c>
      <c r="J131" s="7" t="n">
        <v>93.45439508</v>
      </c>
      <c r="K131" s="7" t="n">
        <v>0.7804762049</v>
      </c>
      <c r="L131" s="7" t="n">
        <v>0</v>
      </c>
      <c r="M131" s="7" t="n">
        <v>5.765128712</v>
      </c>
      <c r="N131" s="7" t="n">
        <v>99.57087001</v>
      </c>
      <c r="O131" s="7" t="n">
        <v>0</v>
      </c>
      <c r="P131" s="7" t="n">
        <v>0.4291299944</v>
      </c>
      <c r="Q131" s="7" t="n">
        <v>0</v>
      </c>
      <c r="R131" s="8" t="str">
        <f aca="false">IF($A131=$A132,$C132-$C131,"")</f>
        <v/>
      </c>
      <c r="S131" s="9" t="str">
        <f aca="false">IF(AND($A131=$A132,ISNUMBER(F131),ISNUMBER(F132)),(F132-F131)/($C132-$C131),"")</f>
        <v/>
      </c>
      <c r="T131" s="9" t="str">
        <f aca="false">IF(AND($A131=$A132,ISNUMBER(J131),ISNUMBER(J132)),(J132-J131)/($C132-$C131),"")</f>
        <v/>
      </c>
      <c r="U131" s="9" t="str">
        <f aca="false">IF(AND($A131=$A132,ISNUMBER(N131),ISNUMBER(N132)),(N132-N131)/($C132-$C131),"")</f>
        <v/>
      </c>
      <c r="V131" s="8" t="n">
        <f aca="false">IF(ISNUMBER(F131),ROUND(F131,0),"")</f>
        <v>98</v>
      </c>
      <c r="W131" s="8" t="n">
        <f aca="false">IF(ISNUMBER(J131),ROUND(J131,0),"")</f>
        <v>93</v>
      </c>
      <c r="X131" s="8" t="n">
        <f aca="false">IF(ISNUMBER(N131),ROUND(N131,0),"")</f>
        <v>100</v>
      </c>
      <c r="Y131" s="4" t="str">
        <f aca="false">IF(AND($A131=$A132,V131=100,V132=100),"full access","")</f>
        <v/>
      </c>
      <c r="Z131" s="4" t="str">
        <f aca="false">IF(AND($A131=$A132,W131=100,W132=100),"full access","")</f>
        <v/>
      </c>
      <c r="AA131" s="4" t="str">
        <f aca="false">IF(AND($A131=$A132,X131=100,X132=100),"full access","")</f>
        <v/>
      </c>
      <c r="AB131" s="9" t="str">
        <f aca="false">IF(AND(ISNUMBER(T131),ISNUMBER(U131)),T131-U131,"")</f>
        <v/>
      </c>
    </row>
    <row r="132" customFormat="false" ht="15" hidden="false" customHeight="false" outlineLevel="0" collapsed="false">
      <c r="A132" s="10" t="s">
        <v>148</v>
      </c>
      <c r="B132" s="10" t="str">
        <f aca="false">IFERROR(INDEX('Region Lookup'!$B$2:$B$233,MATCH(A132,'Region Lookup'!$A$2:$A$233,0)),"Not found")</f>
        <v>Sub-Saharan Africa</v>
      </c>
      <c r="C132" s="10" t="n">
        <v>2015</v>
      </c>
      <c r="D132" s="11" t="n">
        <v>1168.574951</v>
      </c>
      <c r="E132" s="12" t="n">
        <v>70.61600494</v>
      </c>
      <c r="F132" s="12" t="n">
        <v>64.17860165</v>
      </c>
      <c r="G132" s="12" t="n">
        <v>2.934933836</v>
      </c>
      <c r="H132" s="12" t="n">
        <v>26.32879888</v>
      </c>
      <c r="I132" s="12" t="n">
        <v>6.557665631</v>
      </c>
      <c r="J132" s="12" t="n">
        <v>30.77536932</v>
      </c>
      <c r="K132" s="12" t="n">
        <v>1.353579774</v>
      </c>
      <c r="L132" s="12" t="n">
        <v>46.28605636</v>
      </c>
      <c r="M132" s="12" t="n">
        <v>21.58499455</v>
      </c>
      <c r="N132" s="12" t="n">
        <v>78.07800598</v>
      </c>
      <c r="O132" s="12" t="n">
        <v>3.592950383</v>
      </c>
      <c r="P132" s="12" t="n">
        <v>18.02439455</v>
      </c>
      <c r="Q132" s="12" t="n">
        <v>0.3046490909</v>
      </c>
      <c r="R132" s="13" t="n">
        <f aca="false">IF($A132=$A133,$C133-$C132,"")</f>
        <v>2</v>
      </c>
      <c r="S132" s="14" t="n">
        <f aca="false">IF(AND($A132=$A133,ISNUMBER(F132),ISNUMBER(F133)),(F133-F132)/($C133-$C132),"")</f>
        <v>0.243607204999996</v>
      </c>
      <c r="T132" s="14" t="n">
        <f aca="false">IF(AND($A132=$A133,ISNUMBER(J132),ISNUMBER(J133)),(J133-J132)/($C133-$C132),"")</f>
        <v>0</v>
      </c>
      <c r="U132" s="14" t="n">
        <f aca="false">IF(AND($A132=$A133,ISNUMBER(N132),ISNUMBER(N133)),(N133-N132)/($C133-$C132),"")</f>
        <v>0</v>
      </c>
      <c r="V132" s="13" t="n">
        <f aca="false">IF(ISNUMBER(F132),ROUND(F132,0),"")</f>
        <v>64</v>
      </c>
      <c r="W132" s="13" t="n">
        <f aca="false">IF(ISNUMBER(J132),ROUND(J132,0),"")</f>
        <v>31</v>
      </c>
      <c r="X132" s="13" t="n">
        <f aca="false">IF(ISNUMBER(N132),ROUND(N132,0),"")</f>
        <v>78</v>
      </c>
      <c r="Y132" s="10" t="str">
        <f aca="false">IF(AND($A132=$A133,V132=100,V133=100),"full access","")</f>
        <v/>
      </c>
      <c r="Z132" s="10" t="str">
        <f aca="false">IF(AND($A132=$A133,W132=100,W133=100),"full access","")</f>
        <v/>
      </c>
      <c r="AA132" s="10" t="str">
        <f aca="false">IF(AND($A132=$A133,X132=100,X133=100),"full access","")</f>
        <v/>
      </c>
      <c r="AB132" s="14" t="n">
        <f aca="false">IF(AND(ISNUMBER(T132),ISNUMBER(U132)),T132-U132,"")</f>
        <v>0</v>
      </c>
    </row>
    <row r="133" customFormat="false" ht="15" hidden="false" customHeight="false" outlineLevel="0" collapsed="false">
      <c r="A133" s="10" t="s">
        <v>148</v>
      </c>
      <c r="B133" s="10" t="str">
        <f aca="false">IFERROR(INDEX('Region Lookup'!$B$2:$B$233,MATCH(A133,'Region Lookup'!$A$2:$A$233,0)),"Not found")</f>
        <v>Sub-Saharan Africa</v>
      </c>
      <c r="C133" s="10" t="n">
        <v>2017</v>
      </c>
      <c r="D133" s="11" t="n">
        <v>1262.008057</v>
      </c>
      <c r="E133" s="12" t="n">
        <v>71.64599609</v>
      </c>
      <c r="F133" s="12" t="n">
        <v>64.66581606</v>
      </c>
      <c r="G133" s="12" t="n">
        <v>2.957999225</v>
      </c>
      <c r="H133" s="12" t="n">
        <v>26.03770633</v>
      </c>
      <c r="I133" s="12" t="n">
        <v>6.338478386</v>
      </c>
      <c r="J133" s="12" t="n">
        <v>30.77536932</v>
      </c>
      <c r="K133" s="12" t="n">
        <v>1.353579774</v>
      </c>
      <c r="L133" s="12" t="n">
        <v>46.28605636</v>
      </c>
      <c r="M133" s="12" t="n">
        <v>21.58499455</v>
      </c>
      <c r="N133" s="12" t="n">
        <v>78.07800598</v>
      </c>
      <c r="O133" s="12" t="n">
        <v>3.592950383</v>
      </c>
      <c r="P133" s="12" t="n">
        <v>18.02439455</v>
      </c>
      <c r="Q133" s="12" t="n">
        <v>0.3046490909</v>
      </c>
      <c r="R133" s="13" t="str">
        <f aca="false">IF($A133=$A134,$C134-$C133,"")</f>
        <v/>
      </c>
      <c r="S133" s="14" t="str">
        <f aca="false">IF(AND($A133=$A134,ISNUMBER(F133),ISNUMBER(F134)),(F134-F133)/($C134-$C133),"")</f>
        <v/>
      </c>
      <c r="T133" s="14" t="str">
        <f aca="false">IF(AND($A133=$A134,ISNUMBER(J133),ISNUMBER(J134)),(J134-J133)/($C134-$C133),"")</f>
        <v/>
      </c>
      <c r="U133" s="14" t="str">
        <f aca="false">IF(AND($A133=$A134,ISNUMBER(N133),ISNUMBER(N134)),(N134-N133)/($C134-$C133),"")</f>
        <v/>
      </c>
      <c r="V133" s="13" t="n">
        <f aca="false">IF(ISNUMBER(F133),ROUND(F133,0),"")</f>
        <v>65</v>
      </c>
      <c r="W133" s="13" t="n">
        <f aca="false">IF(ISNUMBER(J133),ROUND(J133,0),"")</f>
        <v>31</v>
      </c>
      <c r="X133" s="13" t="n">
        <f aca="false">IF(ISNUMBER(N133),ROUND(N133,0),"")</f>
        <v>78</v>
      </c>
      <c r="Y133" s="10" t="str">
        <f aca="false">IF(AND($A133=$A134,V133=100,V134=100),"full access","")</f>
        <v/>
      </c>
      <c r="Z133" s="10" t="str">
        <f aca="false">IF(AND($A133=$A134,W133=100,W134=100),"full access","")</f>
        <v/>
      </c>
      <c r="AA133" s="10" t="str">
        <f aca="false">IF(AND($A133=$A134,X133=100,X134=100),"full access","")</f>
        <v/>
      </c>
      <c r="AB133" s="14" t="str">
        <f aca="false">IF(AND(ISNUMBER(T133),ISNUMBER(U133)),T133-U133,"")</f>
        <v/>
      </c>
    </row>
    <row r="134" customFormat="false" ht="15" hidden="false" customHeight="false" outlineLevel="0" collapsed="false">
      <c r="A134" s="4" t="s">
        <v>149</v>
      </c>
      <c r="B134" s="4" t="str">
        <f aca="false">IFERROR(INDEX('Region Lookup'!$B$2:$B$233,MATCH(A134,'Region Lookup'!$A$2:$A$233,0)),"Not found")</f>
        <v>Sub-Saharan Africa</v>
      </c>
      <c r="C134" s="4" t="n">
        <v>2015</v>
      </c>
      <c r="D134" s="6" t="n">
        <v>3342.818115</v>
      </c>
      <c r="E134" s="7" t="n">
        <v>38.20600128</v>
      </c>
      <c r="F134" s="7" t="n">
        <v>51.46509353</v>
      </c>
      <c r="G134" s="7" t="n">
        <v>17.70763334</v>
      </c>
      <c r="H134" s="7" t="n">
        <v>13.55609825</v>
      </c>
      <c r="I134" s="7" t="n">
        <v>17.27117488</v>
      </c>
      <c r="J134" s="7" t="n">
        <v>27.80157647</v>
      </c>
      <c r="K134" s="7" t="n">
        <v>24.49842353</v>
      </c>
      <c r="L134" s="7" t="n">
        <v>20.075</v>
      </c>
      <c r="M134" s="7" t="n">
        <v>27.625</v>
      </c>
      <c r="N134" s="7" t="n">
        <v>89.73822453</v>
      </c>
      <c r="O134" s="7" t="n">
        <v>6.724275474</v>
      </c>
      <c r="P134" s="7" t="n">
        <v>3.0125</v>
      </c>
      <c r="Q134" s="7" t="n">
        <v>0.525</v>
      </c>
      <c r="R134" s="8" t="n">
        <f aca="false">IF($A134=$A135,$C135-$C134,"")</f>
        <v>1</v>
      </c>
      <c r="S134" s="9" t="n">
        <f aca="false">IF(AND($A134=$A135,ISNUMBER(F134),ISNUMBER(F135)),(F135-F134)/($C135-$C134),"")</f>
        <v>0.384626650000001</v>
      </c>
      <c r="T134" s="9" t="n">
        <f aca="false">IF(AND($A134=$A135,ISNUMBER(J134),ISNUMBER(J135)),(J135-J134)/($C135-$C134),"")</f>
        <v>0</v>
      </c>
      <c r="U134" s="9" t="n">
        <f aca="false">IF(AND($A134=$A135,ISNUMBER(N134),ISNUMBER(N135)),(N135-N134)/($C135-$C134),"")</f>
        <v>0</v>
      </c>
      <c r="V134" s="8" t="n">
        <f aca="false">IF(ISNUMBER(F134),ROUND(F134,0),"")</f>
        <v>51</v>
      </c>
      <c r="W134" s="8" t="n">
        <f aca="false">IF(ISNUMBER(J134),ROUND(J134,0),"")</f>
        <v>28</v>
      </c>
      <c r="X134" s="8" t="n">
        <f aca="false">IF(ISNUMBER(N134),ROUND(N134,0),"")</f>
        <v>90</v>
      </c>
      <c r="Y134" s="4" t="str">
        <f aca="false">IF(AND($A134=$A135,V134=100,V135=100),"full access","")</f>
        <v/>
      </c>
      <c r="Z134" s="4" t="str">
        <f aca="false">IF(AND($A134=$A135,W134=100,W135=100),"full access","")</f>
        <v/>
      </c>
      <c r="AA134" s="4" t="str">
        <f aca="false">IF(AND($A134=$A135,X134=100,X135=100),"full access","")</f>
        <v/>
      </c>
      <c r="AB134" s="9" t="n">
        <f aca="false">IF(AND(ISNUMBER(T134),ISNUMBER(U134)),T134-U134,"")</f>
        <v>0</v>
      </c>
    </row>
    <row r="135" customFormat="false" ht="15" hidden="false" customHeight="false" outlineLevel="0" collapsed="false">
      <c r="A135" s="4" t="s">
        <v>149</v>
      </c>
      <c r="B135" s="4" t="str">
        <f aca="false">IFERROR(INDEX('Region Lookup'!$B$2:$B$233,MATCH(A135,'Region Lookup'!$A$2:$A$233,0)),"Not found")</f>
        <v>Sub-Saharan Africa</v>
      </c>
      <c r="C135" s="4" t="n">
        <v>2016</v>
      </c>
      <c r="D135" s="6" t="n">
        <v>3376.558105</v>
      </c>
      <c r="E135" s="7" t="n">
        <v>38.82699966</v>
      </c>
      <c r="F135" s="7" t="n">
        <v>51.84972018</v>
      </c>
      <c r="G135" s="7" t="n">
        <v>17.59725585</v>
      </c>
      <c r="H135" s="7" t="n">
        <v>13.45014014</v>
      </c>
      <c r="I135" s="7" t="n">
        <v>17.10288384</v>
      </c>
      <c r="J135" s="7" t="n">
        <v>27.80157647</v>
      </c>
      <c r="K135" s="7" t="n">
        <v>24.49842353</v>
      </c>
      <c r="L135" s="7" t="n">
        <v>20.075</v>
      </c>
      <c r="M135" s="7" t="n">
        <v>27.625</v>
      </c>
      <c r="N135" s="7" t="n">
        <v>89.73822453</v>
      </c>
      <c r="O135" s="7" t="n">
        <v>6.724275474</v>
      </c>
      <c r="P135" s="7" t="n">
        <v>3.0125</v>
      </c>
      <c r="Q135" s="7" t="n">
        <v>0.525</v>
      </c>
      <c r="R135" s="8" t="str">
        <f aca="false">IF($A135=$A136,$C136-$C135,"")</f>
        <v/>
      </c>
      <c r="S135" s="9" t="str">
        <f aca="false">IF(AND($A135=$A136,ISNUMBER(F135),ISNUMBER(F136)),(F136-F135)/($C136-$C135),"")</f>
        <v/>
      </c>
      <c r="T135" s="9" t="str">
        <f aca="false">IF(AND($A135=$A136,ISNUMBER(J135),ISNUMBER(J136)),(J136-J135)/($C136-$C135),"")</f>
        <v/>
      </c>
      <c r="U135" s="9" t="str">
        <f aca="false">IF(AND($A135=$A136,ISNUMBER(N135),ISNUMBER(N136)),(N136-N135)/($C136-$C135),"")</f>
        <v/>
      </c>
      <c r="V135" s="8" t="n">
        <f aca="false">IF(ISNUMBER(F135),ROUND(F135,0),"")</f>
        <v>52</v>
      </c>
      <c r="W135" s="8" t="n">
        <f aca="false">IF(ISNUMBER(J135),ROUND(J135,0),"")</f>
        <v>28</v>
      </c>
      <c r="X135" s="8" t="n">
        <f aca="false">IF(ISNUMBER(N135),ROUND(N135,0),"")</f>
        <v>90</v>
      </c>
      <c r="Y135" s="4" t="str">
        <f aca="false">IF(AND($A135=$A136,V135=100,V136=100),"full access","")</f>
        <v/>
      </c>
      <c r="Z135" s="4" t="str">
        <f aca="false">IF(AND($A135=$A136,W135=100,W136=100),"full access","")</f>
        <v/>
      </c>
      <c r="AA135" s="4" t="str">
        <f aca="false">IF(AND($A135=$A136,X135=100,X136=100),"full access","")</f>
        <v/>
      </c>
      <c r="AB135" s="9" t="str">
        <f aca="false">IF(AND(ISNUMBER(T135),ISNUMBER(U135)),T135-U135,"")</f>
        <v/>
      </c>
    </row>
    <row r="136" customFormat="false" ht="15" hidden="false" customHeight="false" outlineLevel="0" collapsed="false">
      <c r="A136" s="10" t="s">
        <v>150</v>
      </c>
      <c r="B136" s="10" t="str">
        <f aca="false">IFERROR(INDEX('Region Lookup'!$B$2:$B$233,MATCH(A136,'Region Lookup'!$A$2:$A$233,0)),"Not found")</f>
        <v>Europe &amp; Central Asia</v>
      </c>
      <c r="C136" s="10" t="n">
        <v>2015</v>
      </c>
      <c r="D136" s="11" t="n">
        <v>1315.329956</v>
      </c>
      <c r="E136" s="12" t="n">
        <v>68.41600037</v>
      </c>
      <c r="F136" s="12" t="n">
        <v>99.75130757</v>
      </c>
      <c r="G136" s="12" t="n">
        <v>0</v>
      </c>
      <c r="H136" s="12" t="n">
        <v>0.2486924289</v>
      </c>
      <c r="I136" s="12" t="n">
        <v>0</v>
      </c>
      <c r="J136" s="12" t="n">
        <v>99.24411581</v>
      </c>
      <c r="K136" s="12" t="n">
        <v>0</v>
      </c>
      <c r="L136" s="12" t="n">
        <v>0.7558841903</v>
      </c>
      <c r="M136" s="12" t="n">
        <v>0</v>
      </c>
      <c r="N136" s="12" t="n">
        <v>99.98545421</v>
      </c>
      <c r="O136" s="12" t="n">
        <v>0</v>
      </c>
      <c r="P136" s="12" t="n">
        <v>0.01454579307</v>
      </c>
      <c r="Q136" s="12" t="n">
        <v>0</v>
      </c>
      <c r="R136" s="13" t="n">
        <f aca="false">IF($A136=$A137,$C137-$C136,"")</f>
        <v>5</v>
      </c>
      <c r="S136" s="14" t="n">
        <f aca="false">IF(AND($A136=$A137,ISNUMBER(F136),ISNUMBER(F137)),(F137-F136)/($C137-$C136),"")</f>
        <v>-0.0321051579999988</v>
      </c>
      <c r="T136" s="14" t="str">
        <f aca="false">IF(AND($A136=$A137,ISNUMBER(J136),ISNUMBER(J137)),(J137-J136)/($C137-$C136),"")</f>
        <v/>
      </c>
      <c r="U136" s="14" t="n">
        <f aca="false">IF(AND($A136=$A137,ISNUMBER(N136),ISNUMBER(N137)),(N137-N136)/($C137-$C136),"")</f>
        <v>0</v>
      </c>
      <c r="V136" s="13" t="n">
        <f aca="false">IF(ISNUMBER(F136),ROUND(F136,0),"")</f>
        <v>100</v>
      </c>
      <c r="W136" s="13" t="n">
        <f aca="false">IF(ISNUMBER(J136),ROUND(J136,0),"")</f>
        <v>99</v>
      </c>
      <c r="X136" s="13" t="n">
        <f aca="false">IF(ISNUMBER(N136),ROUND(N136,0),"")</f>
        <v>100</v>
      </c>
      <c r="Y136" s="10" t="str">
        <f aca="false">IF(AND($A136=$A137,V136=100,V137=100),"full access","")</f>
        <v>full access</v>
      </c>
      <c r="Z136" s="10" t="str">
        <f aca="false">IF(AND($A136=$A137,W136=100,W137=100),"full access","")</f>
        <v/>
      </c>
      <c r="AA136" s="10" t="str">
        <f aca="false">IF(AND($A136=$A137,X136=100,X137=100),"full access","")</f>
        <v>full access</v>
      </c>
      <c r="AB136" s="14" t="str">
        <f aca="false">IF(AND(ISNUMBER(T136),ISNUMBER(U136)),T136-U136,"")</f>
        <v/>
      </c>
    </row>
    <row r="137" customFormat="false" ht="15" hidden="false" customHeight="false" outlineLevel="0" collapsed="false">
      <c r="A137" s="10" t="s">
        <v>150</v>
      </c>
      <c r="B137" s="10" t="str">
        <f aca="false">IFERROR(INDEX('Region Lookup'!$B$2:$B$233,MATCH(A137,'Region Lookup'!$A$2:$A$233,0)),"Not found")</f>
        <v>Europe &amp; Central Asia</v>
      </c>
      <c r="C137" s="10" t="n">
        <v>2020</v>
      </c>
      <c r="D137" s="11" t="n">
        <v>1326.53894</v>
      </c>
      <c r="E137" s="12" t="n">
        <v>69.22900391</v>
      </c>
      <c r="F137" s="12" t="n">
        <v>99.59078178</v>
      </c>
      <c r="G137" s="12" t="n">
        <v>0</v>
      </c>
      <c r="H137" s="12" t="n">
        <v>0.4092182232</v>
      </c>
      <c r="I137" s="12" t="n">
        <v>0</v>
      </c>
      <c r="J137" s="12"/>
      <c r="K137" s="12"/>
      <c r="L137" s="12"/>
      <c r="M137" s="12"/>
      <c r="N137" s="12" t="n">
        <v>99.98545421</v>
      </c>
      <c r="O137" s="12" t="n">
        <v>0</v>
      </c>
      <c r="P137" s="12" t="n">
        <v>0.01454579307</v>
      </c>
      <c r="Q137" s="12" t="n">
        <v>0</v>
      </c>
      <c r="R137" s="13" t="str">
        <f aca="false">IF($A137=$A138,$C138-$C137,"")</f>
        <v/>
      </c>
      <c r="S137" s="14" t="str">
        <f aca="false">IF(AND($A137=$A138,ISNUMBER(F137),ISNUMBER(F138)),(F138-F137)/($C138-$C137),"")</f>
        <v/>
      </c>
      <c r="T137" s="14" t="str">
        <f aca="false">IF(AND($A137=$A138,ISNUMBER(J137),ISNUMBER(J138)),(J138-J137)/($C138-$C137),"")</f>
        <v/>
      </c>
      <c r="U137" s="14" t="str">
        <f aca="false">IF(AND($A137=$A138,ISNUMBER(N137),ISNUMBER(N138)),(N138-N137)/($C138-$C137),"")</f>
        <v/>
      </c>
      <c r="V137" s="13" t="n">
        <f aca="false">IF(ISNUMBER(F137),ROUND(F137,0),"")</f>
        <v>100</v>
      </c>
      <c r="W137" s="13" t="str">
        <f aca="false">IF(ISNUMBER(J137),ROUND(J137,0),"")</f>
        <v/>
      </c>
      <c r="X137" s="13" t="n">
        <f aca="false">IF(ISNUMBER(N137),ROUND(N137,0),"")</f>
        <v>100</v>
      </c>
      <c r="Y137" s="10" t="str">
        <f aca="false">IF(AND($A137=$A138,V137=100,V138=100),"full access","")</f>
        <v/>
      </c>
      <c r="Z137" s="10" t="str">
        <f aca="false">IF(AND($A137=$A138,W137=100,W138=100),"full access","")</f>
        <v/>
      </c>
      <c r="AA137" s="10" t="str">
        <f aca="false">IF(AND($A137=$A138,X137=100,X138=100),"full access","")</f>
        <v/>
      </c>
      <c r="AB137" s="14" t="str">
        <f aca="false">IF(AND(ISNUMBER(T137),ISNUMBER(U137)),T137-U137,"")</f>
        <v/>
      </c>
    </row>
    <row r="138" customFormat="false" ht="15" hidden="false" customHeight="false" outlineLevel="0" collapsed="false">
      <c r="A138" s="4" t="s">
        <v>151</v>
      </c>
      <c r="B138" s="4" t="str">
        <f aca="false">IFERROR(INDEX('Region Lookup'!$B$2:$B$233,MATCH(A138,'Region Lookup'!$A$2:$A$233,0)),"Not found")</f>
        <v>Sub-Saharan Africa</v>
      </c>
      <c r="C138" s="4" t="n">
        <v>2015</v>
      </c>
      <c r="D138" s="6" t="n">
        <v>1104.037964</v>
      </c>
      <c r="E138" s="7" t="n">
        <v>23.29999924</v>
      </c>
      <c r="F138" s="7" t="n">
        <v>66.70395522</v>
      </c>
      <c r="G138" s="7" t="n">
        <v>8.767617333</v>
      </c>
      <c r="H138" s="7" t="n">
        <v>10.89011026</v>
      </c>
      <c r="I138" s="7" t="n">
        <v>13.63831719</v>
      </c>
      <c r="J138" s="7" t="n">
        <v>58.1249849</v>
      </c>
      <c r="K138" s="7" t="n">
        <v>11.1820493</v>
      </c>
      <c r="L138" s="7" t="n">
        <v>13.43987898</v>
      </c>
      <c r="M138" s="7" t="n">
        <v>17.25308683</v>
      </c>
      <c r="N138" s="7" t="n">
        <v>94.94460013</v>
      </c>
      <c r="O138" s="7" t="n">
        <v>0.8196803222</v>
      </c>
      <c r="P138" s="7" t="n">
        <v>2.496665561</v>
      </c>
      <c r="Q138" s="7" t="n">
        <v>1.73905399</v>
      </c>
      <c r="R138" s="8" t="n">
        <f aca="false">IF($A138=$A139,$C139-$C138,"")</f>
        <v>5</v>
      </c>
      <c r="S138" s="9" t="n">
        <f aca="false">IF(AND($A138=$A139,ISNUMBER(F138),ISNUMBER(F139)),(F139-F138)/($C139-$C138),"")</f>
        <v>0.809823145999999</v>
      </c>
      <c r="T138" s="9" t="n">
        <f aca="false">IF(AND($A138=$A139,ISNUMBER(J138),ISNUMBER(J139)),(J139-J138)/($C139-$C138),"")</f>
        <v>0.868292767999999</v>
      </c>
      <c r="U138" s="9" t="n">
        <f aca="false">IF(AND($A138=$A139,ISNUMBER(N138),ISNUMBER(N139)),(N139-N138)/($C139-$C138),"")</f>
        <v>0.361032584</v>
      </c>
      <c r="V138" s="8" t="n">
        <f aca="false">IF(ISNUMBER(F138),ROUND(F138,0),"")</f>
        <v>67</v>
      </c>
      <c r="W138" s="8" t="n">
        <f aca="false">IF(ISNUMBER(J138),ROUND(J138,0),"")</f>
        <v>58</v>
      </c>
      <c r="X138" s="8" t="n">
        <f aca="false">IF(ISNUMBER(N138),ROUND(N138,0),"")</f>
        <v>95</v>
      </c>
      <c r="Y138" s="4" t="str">
        <f aca="false">IF(AND($A138=$A139,V138=100,V139=100),"full access","")</f>
        <v/>
      </c>
      <c r="Z138" s="4" t="str">
        <f aca="false">IF(AND($A138=$A139,W138=100,W139=100),"full access","")</f>
        <v/>
      </c>
      <c r="AA138" s="4" t="str">
        <f aca="false">IF(AND($A138=$A139,X138=100,X139=100),"full access","")</f>
        <v/>
      </c>
      <c r="AB138" s="9" t="n">
        <f aca="false">IF(AND(ISNUMBER(T138),ISNUMBER(U138)),T138-U138,"")</f>
        <v>0.507260183999999</v>
      </c>
    </row>
    <row r="139" customFormat="false" ht="15" hidden="false" customHeight="false" outlineLevel="0" collapsed="false">
      <c r="A139" s="4" t="s">
        <v>151</v>
      </c>
      <c r="B139" s="4" t="str">
        <f aca="false">IFERROR(INDEX('Region Lookup'!$B$2:$B$233,MATCH(A139,'Region Lookup'!$A$2:$A$233,0)),"Not found")</f>
        <v>Sub-Saharan Africa</v>
      </c>
      <c r="C139" s="4" t="n">
        <v>2020</v>
      </c>
      <c r="D139" s="6" t="n">
        <v>1160.16394</v>
      </c>
      <c r="E139" s="7" t="n">
        <v>24.17100143</v>
      </c>
      <c r="F139" s="7" t="n">
        <v>70.75307095</v>
      </c>
      <c r="G139" s="7" t="n">
        <v>9.507067163</v>
      </c>
      <c r="H139" s="7" t="n">
        <v>9.835567931</v>
      </c>
      <c r="I139" s="7" t="n">
        <v>9.904293959</v>
      </c>
      <c r="J139" s="7" t="n">
        <v>62.46644874</v>
      </c>
      <c r="K139" s="7" t="n">
        <v>12.29969513</v>
      </c>
      <c r="L139" s="7" t="n">
        <v>12.45046093</v>
      </c>
      <c r="M139" s="7" t="n">
        <v>12.78339519</v>
      </c>
      <c r="N139" s="7" t="n">
        <v>96.74976305</v>
      </c>
      <c r="O139" s="7" t="n">
        <v>0.7460644731</v>
      </c>
      <c r="P139" s="7" t="n">
        <v>1.632164244</v>
      </c>
      <c r="Q139" s="7" t="n">
        <v>0.8720082294</v>
      </c>
      <c r="R139" s="8" t="str">
        <f aca="false">IF($A139=$A140,$C140-$C139,"")</f>
        <v/>
      </c>
      <c r="S139" s="9" t="str">
        <f aca="false">IF(AND($A139=$A140,ISNUMBER(F139),ISNUMBER(F140)),(F140-F139)/($C140-$C139),"")</f>
        <v/>
      </c>
      <c r="T139" s="9" t="str">
        <f aca="false">IF(AND($A139=$A140,ISNUMBER(J139),ISNUMBER(J140)),(J140-J139)/($C140-$C139),"")</f>
        <v/>
      </c>
      <c r="U139" s="9" t="str">
        <f aca="false">IF(AND($A139=$A140,ISNUMBER(N139),ISNUMBER(N140)),(N140-N139)/($C140-$C139),"")</f>
        <v/>
      </c>
      <c r="V139" s="8" t="n">
        <f aca="false">IF(ISNUMBER(F139),ROUND(F139,0),"")</f>
        <v>71</v>
      </c>
      <c r="W139" s="8" t="n">
        <f aca="false">IF(ISNUMBER(J139),ROUND(J139,0),"")</f>
        <v>62</v>
      </c>
      <c r="X139" s="8" t="n">
        <f aca="false">IF(ISNUMBER(N139),ROUND(N139,0),"")</f>
        <v>97</v>
      </c>
      <c r="Y139" s="4" t="str">
        <f aca="false">IF(AND($A139=$A140,V139=100,V140=100),"full access","")</f>
        <v/>
      </c>
      <c r="Z139" s="4" t="str">
        <f aca="false">IF(AND($A139=$A140,W139=100,W140=100),"full access","")</f>
        <v/>
      </c>
      <c r="AA139" s="4" t="str">
        <f aca="false">IF(AND($A139=$A140,X139=100,X140=100),"full access","")</f>
        <v/>
      </c>
      <c r="AB139" s="9" t="str">
        <f aca="false">IF(AND(ISNUMBER(T139),ISNUMBER(U139)),T139-U139,"")</f>
        <v/>
      </c>
    </row>
    <row r="140" customFormat="false" ht="15" hidden="false" customHeight="false" outlineLevel="0" collapsed="false">
      <c r="A140" s="10" t="s">
        <v>152</v>
      </c>
      <c r="B140" s="10" t="str">
        <f aca="false">IFERROR(INDEX('Region Lookup'!$B$2:$B$233,MATCH(A140,'Region Lookup'!$A$2:$A$233,0)),"Not found")</f>
        <v>Sub-Saharan Africa</v>
      </c>
      <c r="C140" s="10" t="n">
        <v>2015</v>
      </c>
      <c r="D140" s="11" t="n">
        <v>100835.4531</v>
      </c>
      <c r="E140" s="12" t="n">
        <v>19.4280014</v>
      </c>
      <c r="F140" s="12" t="n">
        <v>42.0700672</v>
      </c>
      <c r="G140" s="12" t="n">
        <v>21.73879027</v>
      </c>
      <c r="H140" s="12" t="n">
        <v>24.47785615</v>
      </c>
      <c r="I140" s="12" t="n">
        <v>11.71328639</v>
      </c>
      <c r="J140" s="12" t="n">
        <v>32.45176743</v>
      </c>
      <c r="K140" s="12" t="n">
        <v>23.5985521</v>
      </c>
      <c r="L140" s="12" t="n">
        <v>29.78155581</v>
      </c>
      <c r="M140" s="12" t="n">
        <v>14.16812467</v>
      </c>
      <c r="N140" s="12" t="n">
        <v>81.95917654</v>
      </c>
      <c r="O140" s="12" t="n">
        <v>14.02596733</v>
      </c>
      <c r="P140" s="12" t="n">
        <v>2.482299691</v>
      </c>
      <c r="Q140" s="12" t="n">
        <v>1.532556439</v>
      </c>
      <c r="R140" s="13" t="n">
        <f aca="false">IF($A140=$A141,$C141-$C140,"")</f>
        <v>5</v>
      </c>
      <c r="S140" s="14" t="n">
        <f aca="false">IF(AND($A140=$A141,ISNUMBER(F140),ISNUMBER(F141)),(F141-F140)/($C141-$C140),"")</f>
        <v>1.509101108</v>
      </c>
      <c r="T140" s="14" t="n">
        <f aca="false">IF(AND($A140=$A141,ISNUMBER(J140),ISNUMBER(J141)),(J141-J140)/($C141-$C140),"")</f>
        <v>1.515674352</v>
      </c>
      <c r="U140" s="14" t="n">
        <f aca="false">IF(AND($A140=$A141,ISNUMBER(N140),ISNUMBER(N141)),(N141-N140)/($C141-$C140),"")</f>
        <v>0.450730324</v>
      </c>
      <c r="V140" s="13" t="n">
        <f aca="false">IF(ISNUMBER(F140),ROUND(F140,0),"")</f>
        <v>42</v>
      </c>
      <c r="W140" s="13" t="n">
        <f aca="false">IF(ISNUMBER(J140),ROUND(J140,0),"")</f>
        <v>32</v>
      </c>
      <c r="X140" s="13" t="n">
        <f aca="false">IF(ISNUMBER(N140),ROUND(N140,0),"")</f>
        <v>82</v>
      </c>
      <c r="Y140" s="10" t="str">
        <f aca="false">IF(AND($A140=$A141,V140=100,V141=100),"full access","")</f>
        <v/>
      </c>
      <c r="Z140" s="10" t="str">
        <f aca="false">IF(AND($A140=$A141,W140=100,W141=100),"full access","")</f>
        <v/>
      </c>
      <c r="AA140" s="10" t="str">
        <f aca="false">IF(AND($A140=$A141,X140=100,X141=100),"full access","")</f>
        <v/>
      </c>
      <c r="AB140" s="14" t="n">
        <f aca="false">IF(AND(ISNUMBER(T140),ISNUMBER(U140)),T140-U140,"")</f>
        <v>1.064944028</v>
      </c>
    </row>
    <row r="141" customFormat="false" ht="15" hidden="false" customHeight="false" outlineLevel="0" collapsed="false">
      <c r="A141" s="10" t="s">
        <v>152</v>
      </c>
      <c r="B141" s="10" t="str">
        <f aca="false">IFERROR(INDEX('Region Lookup'!$B$2:$B$233,MATCH(A141,'Region Lookup'!$A$2:$A$233,0)),"Not found")</f>
        <v>Sub-Saharan Africa</v>
      </c>
      <c r="C141" s="10" t="n">
        <v>2020</v>
      </c>
      <c r="D141" s="11" t="n">
        <v>114963.5859</v>
      </c>
      <c r="E141" s="12" t="n">
        <v>21.69499969</v>
      </c>
      <c r="F141" s="12" t="n">
        <v>49.61557274</v>
      </c>
      <c r="G141" s="12" t="n">
        <v>26.74071964</v>
      </c>
      <c r="H141" s="12" t="n">
        <v>18.63506013</v>
      </c>
      <c r="I141" s="12" t="n">
        <v>5.008647486</v>
      </c>
      <c r="J141" s="12" t="n">
        <v>40.03013919</v>
      </c>
      <c r="K141" s="12" t="n">
        <v>30.18668334</v>
      </c>
      <c r="L141" s="12" t="n">
        <v>23.49561327</v>
      </c>
      <c r="M141" s="12" t="n">
        <v>6.287564203</v>
      </c>
      <c r="N141" s="12" t="n">
        <v>84.21282816</v>
      </c>
      <c r="O141" s="12" t="n">
        <v>14.30300858</v>
      </c>
      <c r="P141" s="12" t="n">
        <v>1.091582355</v>
      </c>
      <c r="Q141" s="12" t="n">
        <v>0.392580896</v>
      </c>
      <c r="R141" s="13" t="str">
        <f aca="false">IF($A141=$A142,$C142-$C141,"")</f>
        <v/>
      </c>
      <c r="S141" s="14" t="str">
        <f aca="false">IF(AND($A141=$A142,ISNUMBER(F141),ISNUMBER(F142)),(F142-F141)/($C142-$C141),"")</f>
        <v/>
      </c>
      <c r="T141" s="14" t="str">
        <f aca="false">IF(AND($A141=$A142,ISNUMBER(J141),ISNUMBER(J142)),(J142-J141)/($C142-$C141),"")</f>
        <v/>
      </c>
      <c r="U141" s="14" t="str">
        <f aca="false">IF(AND($A141=$A142,ISNUMBER(N141),ISNUMBER(N142)),(N142-N141)/($C142-$C141),"")</f>
        <v/>
      </c>
      <c r="V141" s="13" t="n">
        <f aca="false">IF(ISNUMBER(F141),ROUND(F141,0),"")</f>
        <v>50</v>
      </c>
      <c r="W141" s="13" t="n">
        <f aca="false">IF(ISNUMBER(J141),ROUND(J141,0),"")</f>
        <v>40</v>
      </c>
      <c r="X141" s="13" t="n">
        <f aca="false">IF(ISNUMBER(N141),ROUND(N141,0),"")</f>
        <v>84</v>
      </c>
      <c r="Y141" s="10" t="str">
        <f aca="false">IF(AND($A141=$A142,V141=100,V142=100),"full access","")</f>
        <v/>
      </c>
      <c r="Z141" s="10" t="str">
        <f aca="false">IF(AND($A141=$A142,W141=100,W142=100),"full access","")</f>
        <v/>
      </c>
      <c r="AA141" s="10" t="str">
        <f aca="false">IF(AND($A141=$A142,X141=100,X142=100),"full access","")</f>
        <v/>
      </c>
      <c r="AB141" s="14" t="str">
        <f aca="false">IF(AND(ISNUMBER(T141),ISNUMBER(U141)),T141-U141,"")</f>
        <v/>
      </c>
    </row>
    <row r="142" customFormat="false" ht="15" hidden="false" customHeight="false" outlineLevel="0" collapsed="false">
      <c r="A142" s="4" t="s">
        <v>153</v>
      </c>
      <c r="B142" s="4" t="str">
        <f aca="false">IFERROR(INDEX('Region Lookup'!$B$2:$B$233,MATCH(A142,'Region Lookup'!$A$2:$A$233,0)),"Not found")</f>
        <v>Europe &amp; Central Asia</v>
      </c>
      <c r="C142" s="4" t="n">
        <v>2015</v>
      </c>
      <c r="D142" s="6" t="n">
        <v>48.05500031</v>
      </c>
      <c r="E142" s="7" t="n">
        <v>41.63799667</v>
      </c>
      <c r="F142" s="7" t="n">
        <v>100</v>
      </c>
      <c r="G142" s="7" t="n">
        <v>0</v>
      </c>
      <c r="H142" s="7" t="n">
        <v>0</v>
      </c>
      <c r="I142" s="7" t="n">
        <v>0</v>
      </c>
      <c r="J142" s="7"/>
      <c r="K142" s="7"/>
      <c r="L142" s="7"/>
      <c r="M142" s="7"/>
      <c r="N142" s="7"/>
      <c r="O142" s="7"/>
      <c r="P142" s="7"/>
      <c r="Q142" s="7"/>
      <c r="R142" s="8" t="n">
        <f aca="false">IF($A142=$A143,$C143-$C142,"")</f>
        <v>5</v>
      </c>
      <c r="S142" s="9" t="n">
        <f aca="false">IF(AND($A142=$A143,ISNUMBER(F142),ISNUMBER(F143)),(F143-F142)/($C143-$C142),"")</f>
        <v>0</v>
      </c>
      <c r="T142" s="9" t="str">
        <f aca="false">IF(AND($A142=$A143,ISNUMBER(J142),ISNUMBER(J143)),(J143-J142)/($C143-$C142),"")</f>
        <v/>
      </c>
      <c r="U142" s="9" t="str">
        <f aca="false">IF(AND($A142=$A143,ISNUMBER(N142),ISNUMBER(N143)),(N143-N142)/($C143-$C142),"")</f>
        <v/>
      </c>
      <c r="V142" s="8" t="n">
        <f aca="false">IF(ISNUMBER(F142),ROUND(F142,0),"")</f>
        <v>100</v>
      </c>
      <c r="W142" s="8" t="str">
        <f aca="false">IF(ISNUMBER(J142),ROUND(J142,0),"")</f>
        <v/>
      </c>
      <c r="X142" s="8" t="str">
        <f aca="false">IF(ISNUMBER(N142),ROUND(N142,0),"")</f>
        <v/>
      </c>
      <c r="Y142" s="4" t="str">
        <f aca="false">IF(AND($A142=$A143,V142=100,V143=100),"full access","")</f>
        <v>full access</v>
      </c>
      <c r="Z142" s="4" t="str">
        <f aca="false">IF(AND($A142=$A143,W142=100,W143=100),"full access","")</f>
        <v/>
      </c>
      <c r="AA142" s="4" t="str">
        <f aca="false">IF(AND($A142=$A143,X142=100,X143=100),"full access","")</f>
        <v/>
      </c>
      <c r="AB142" s="9" t="str">
        <f aca="false">IF(AND(ISNUMBER(T142),ISNUMBER(U142)),T142-U142,"")</f>
        <v/>
      </c>
    </row>
    <row r="143" customFormat="false" ht="15" hidden="false" customHeight="false" outlineLevel="0" collapsed="false">
      <c r="A143" s="4" t="s">
        <v>153</v>
      </c>
      <c r="B143" s="4" t="str">
        <f aca="false">IFERROR(INDEX('Region Lookup'!$B$2:$B$233,MATCH(A143,'Region Lookup'!$A$2:$A$233,0)),"Not found")</f>
        <v>Europe &amp; Central Asia</v>
      </c>
      <c r="C143" s="4" t="n">
        <v>2020</v>
      </c>
      <c r="D143" s="6" t="n">
        <v>48.86500168</v>
      </c>
      <c r="E143" s="7" t="n">
        <v>42.39799881</v>
      </c>
      <c r="F143" s="7" t="n">
        <v>100</v>
      </c>
      <c r="G143" s="7" t="n">
        <v>0</v>
      </c>
      <c r="H143" s="7" t="n">
        <v>0</v>
      </c>
      <c r="I143" s="7" t="n">
        <v>0</v>
      </c>
      <c r="J143" s="7"/>
      <c r="K143" s="7"/>
      <c r="L143" s="7"/>
      <c r="M143" s="7"/>
      <c r="N143" s="7"/>
      <c r="O143" s="7"/>
      <c r="P143" s="7"/>
      <c r="Q143" s="7"/>
      <c r="R143" s="8" t="str">
        <f aca="false">IF($A143=$A144,$C144-$C143,"")</f>
        <v/>
      </c>
      <c r="S143" s="9" t="str">
        <f aca="false">IF(AND($A143=$A144,ISNUMBER(F143),ISNUMBER(F144)),(F144-F143)/($C144-$C143),"")</f>
        <v/>
      </c>
      <c r="T143" s="9" t="str">
        <f aca="false">IF(AND($A143=$A144,ISNUMBER(J143),ISNUMBER(J144)),(J144-J143)/($C144-$C143),"")</f>
        <v/>
      </c>
      <c r="U143" s="9" t="str">
        <f aca="false">IF(AND($A143=$A144,ISNUMBER(N143),ISNUMBER(N144)),(N144-N143)/($C144-$C143),"")</f>
        <v/>
      </c>
      <c r="V143" s="8" t="n">
        <f aca="false">IF(ISNUMBER(F143),ROUND(F143,0),"")</f>
        <v>100</v>
      </c>
      <c r="W143" s="8" t="str">
        <f aca="false">IF(ISNUMBER(J143),ROUND(J143,0),"")</f>
        <v/>
      </c>
      <c r="X143" s="8" t="str">
        <f aca="false">IF(ISNUMBER(N143),ROUND(N143,0),"")</f>
        <v/>
      </c>
      <c r="Y143" s="4" t="str">
        <f aca="false">IF(AND($A143=$A144,V143=100,V144=100),"full access","")</f>
        <v/>
      </c>
      <c r="Z143" s="4" t="str">
        <f aca="false">IF(AND($A143=$A144,W143=100,W144=100),"full access","")</f>
        <v/>
      </c>
      <c r="AA143" s="4" t="str">
        <f aca="false">IF(AND($A143=$A144,X143=100,X144=100),"full access","")</f>
        <v/>
      </c>
      <c r="AB143" s="9" t="str">
        <f aca="false">IF(AND(ISNUMBER(T143),ISNUMBER(U143)),T143-U143,"")</f>
        <v/>
      </c>
    </row>
    <row r="144" customFormat="false" ht="15" hidden="false" customHeight="false" outlineLevel="0" collapsed="false">
      <c r="A144" s="10" t="s">
        <v>154</v>
      </c>
      <c r="B144" s="10" t="str">
        <f aca="false">IFERROR(INDEX('Region Lookup'!$B$2:$B$233,MATCH(A144,'Region Lookup'!$A$2:$A$233,0)),"Not found")</f>
        <v>Latin America &amp; Caribbean</v>
      </c>
      <c r="C144" s="10" t="n">
        <v>2015</v>
      </c>
      <c r="D144" s="11" t="n">
        <v>2.835999966</v>
      </c>
      <c r="E144" s="12" t="n">
        <v>76.26800537</v>
      </c>
      <c r="F144" s="12" t="n">
        <v>94.82000666</v>
      </c>
      <c r="G144" s="12" t="n">
        <v>0</v>
      </c>
      <c r="H144" s="12" t="n">
        <v>5.179993343</v>
      </c>
      <c r="I144" s="12" t="n">
        <v>0</v>
      </c>
      <c r="J144" s="12" t="n">
        <v>78.17294282</v>
      </c>
      <c r="K144" s="12" t="n">
        <v>0</v>
      </c>
      <c r="L144" s="12" t="n">
        <v>21.82705718</v>
      </c>
      <c r="M144" s="12" t="n">
        <v>0</v>
      </c>
      <c r="N144" s="12" t="n">
        <v>100</v>
      </c>
      <c r="O144" s="12" t="n">
        <v>0</v>
      </c>
      <c r="P144" s="12" t="n">
        <v>0</v>
      </c>
      <c r="Q144" s="12" t="n">
        <v>0</v>
      </c>
      <c r="R144" s="13" t="n">
        <f aca="false">IF($A144=$A145,$C145-$C144,"")</f>
        <v>5</v>
      </c>
      <c r="S144" s="14" t="n">
        <f aca="false">IF(AND($A144=$A145,ISNUMBER(F144),ISNUMBER(F145)),(F145-F144)/($C145-$C144),"")</f>
        <v>0.0977841479999995</v>
      </c>
      <c r="T144" s="14" t="n">
        <f aca="false">IF(AND($A144=$A145,ISNUMBER(J144),ISNUMBER(J145)),(J145-J144)/($C145-$C144),"")</f>
        <v>0</v>
      </c>
      <c r="U144" s="14" t="n">
        <f aca="false">IF(AND($A144=$A145,ISNUMBER(N144),ISNUMBER(N145)),(N145-N144)/($C145-$C144),"")</f>
        <v>0</v>
      </c>
      <c r="V144" s="13" t="n">
        <f aca="false">IF(ISNUMBER(F144),ROUND(F144,0),"")</f>
        <v>95</v>
      </c>
      <c r="W144" s="13" t="n">
        <f aca="false">IF(ISNUMBER(J144),ROUND(J144,0),"")</f>
        <v>78</v>
      </c>
      <c r="X144" s="13" t="n">
        <f aca="false">IF(ISNUMBER(N144),ROUND(N144,0),"")</f>
        <v>100</v>
      </c>
      <c r="Y144" s="10" t="str">
        <f aca="false">IF(AND($A144=$A145,V144=100,V145=100),"full access","")</f>
        <v/>
      </c>
      <c r="Z144" s="10" t="str">
        <f aca="false">IF(AND($A144=$A145,W144=100,W145=100),"full access","")</f>
        <v/>
      </c>
      <c r="AA144" s="10" t="str">
        <f aca="false">IF(AND($A144=$A145,X144=100,X145=100),"full access","")</f>
        <v>full access</v>
      </c>
      <c r="AB144" s="14" t="n">
        <f aca="false">IF(AND(ISNUMBER(T144),ISNUMBER(U144)),T144-U144,"")</f>
        <v>0</v>
      </c>
    </row>
    <row r="145" customFormat="false" ht="15" hidden="false" customHeight="false" outlineLevel="0" collapsed="false">
      <c r="A145" s="10" t="s">
        <v>154</v>
      </c>
      <c r="B145" s="10" t="str">
        <f aca="false">IFERROR(INDEX('Region Lookup'!$B$2:$B$233,MATCH(A145,'Region Lookup'!$A$2:$A$233,0)),"Not found")</f>
        <v>Latin America &amp; Caribbean</v>
      </c>
      <c r="C145" s="10" t="n">
        <v>2020</v>
      </c>
      <c r="D145" s="11" t="n">
        <v>3.48300004</v>
      </c>
      <c r="E145" s="12" t="n">
        <v>78.50799561</v>
      </c>
      <c r="F145" s="12" t="n">
        <v>95.3089274</v>
      </c>
      <c r="G145" s="12" t="n">
        <v>0</v>
      </c>
      <c r="H145" s="12" t="n">
        <v>4.691072596</v>
      </c>
      <c r="I145" s="12" t="n">
        <v>0</v>
      </c>
      <c r="J145" s="12" t="n">
        <v>78.17294282</v>
      </c>
      <c r="K145" s="12" t="n">
        <v>0</v>
      </c>
      <c r="L145" s="12" t="n">
        <v>21.82705718</v>
      </c>
      <c r="M145" s="12" t="n">
        <v>0</v>
      </c>
      <c r="N145" s="12" t="n">
        <v>100</v>
      </c>
      <c r="O145" s="12" t="n">
        <v>0</v>
      </c>
      <c r="P145" s="12" t="n">
        <v>0</v>
      </c>
      <c r="Q145" s="12" t="n">
        <v>0</v>
      </c>
      <c r="R145" s="13" t="str">
        <f aca="false">IF($A145=$A146,$C146-$C145,"")</f>
        <v/>
      </c>
      <c r="S145" s="14" t="str">
        <f aca="false">IF(AND($A145=$A146,ISNUMBER(F145),ISNUMBER(F146)),(F146-F145)/($C146-$C145),"")</f>
        <v/>
      </c>
      <c r="T145" s="14" t="str">
        <f aca="false">IF(AND($A145=$A146,ISNUMBER(J145),ISNUMBER(J146)),(J146-J145)/($C146-$C145),"")</f>
        <v/>
      </c>
      <c r="U145" s="14" t="str">
        <f aca="false">IF(AND($A145=$A146,ISNUMBER(N145),ISNUMBER(N146)),(N146-N145)/($C146-$C145),"")</f>
        <v/>
      </c>
      <c r="V145" s="13" t="n">
        <f aca="false">IF(ISNUMBER(F145),ROUND(F145,0),"")</f>
        <v>95</v>
      </c>
      <c r="W145" s="13" t="n">
        <f aca="false">IF(ISNUMBER(J145),ROUND(J145,0),"")</f>
        <v>78</v>
      </c>
      <c r="X145" s="13" t="n">
        <f aca="false">IF(ISNUMBER(N145),ROUND(N145,0),"")</f>
        <v>100</v>
      </c>
      <c r="Y145" s="10" t="str">
        <f aca="false">IF(AND($A145=$A146,V145=100,V146=100),"full access","")</f>
        <v/>
      </c>
      <c r="Z145" s="10" t="str">
        <f aca="false">IF(AND($A145=$A146,W145=100,W146=100),"full access","")</f>
        <v/>
      </c>
      <c r="AA145" s="10" t="str">
        <f aca="false">IF(AND($A145=$A146,X145=100,X146=100),"full access","")</f>
        <v/>
      </c>
      <c r="AB145" s="14" t="str">
        <f aca="false">IF(AND(ISNUMBER(T145),ISNUMBER(U145)),T145-U145,"")</f>
        <v/>
      </c>
    </row>
    <row r="146" customFormat="false" ht="15" hidden="false" customHeight="false" outlineLevel="0" collapsed="false">
      <c r="A146" s="4" t="s">
        <v>155</v>
      </c>
      <c r="B146" s="4" t="str">
        <f aca="false">IFERROR(INDEX('Region Lookup'!$B$2:$B$233,MATCH(A146,'Region Lookup'!$A$2:$A$233,0)),"Not found")</f>
        <v>East Asia &amp; Pacific</v>
      </c>
      <c r="C146" s="4" t="n">
        <v>2015</v>
      </c>
      <c r="D146" s="6" t="n">
        <v>868.632019</v>
      </c>
      <c r="E146" s="7" t="n">
        <v>54.72599792</v>
      </c>
      <c r="F146" s="7" t="n">
        <v>94.26255867</v>
      </c>
      <c r="G146" s="7" t="n">
        <v>0</v>
      </c>
      <c r="H146" s="7" t="n">
        <v>3.419365936</v>
      </c>
      <c r="I146" s="7" t="n">
        <v>2.318075395</v>
      </c>
      <c r="J146" s="7" t="n">
        <v>89.37852739</v>
      </c>
      <c r="K146" s="7" t="n">
        <v>0</v>
      </c>
      <c r="L146" s="7" t="n">
        <v>5.829467811</v>
      </c>
      <c r="M146" s="7" t="n">
        <v>4.792004795</v>
      </c>
      <c r="N146" s="7" t="n">
        <v>98.30304467</v>
      </c>
      <c r="O146" s="7" t="n">
        <v>0</v>
      </c>
      <c r="P146" s="7" t="n">
        <v>1.425524712</v>
      </c>
      <c r="Q146" s="7" t="n">
        <v>0.2714306142</v>
      </c>
      <c r="R146" s="8" t="n">
        <f aca="false">IF($A146=$A147,$C147-$C146,"")</f>
        <v>5</v>
      </c>
      <c r="S146" s="9" t="n">
        <f aca="false">IF(AND($A146=$A147,ISNUMBER(F146),ISNUMBER(F147)),(F147-F146)/($C147-$C146),"")</f>
        <v>0.00770131399999912</v>
      </c>
      <c r="T146" s="9" t="n">
        <f aca="false">IF(AND($A146=$A147,ISNUMBER(J146),ISNUMBER(J147)),(J147-J146)/($C147-$C146),"")</f>
        <v>-0.0581006680000002</v>
      </c>
      <c r="U146" s="9" t="n">
        <f aca="false">IF(AND($A146=$A147,ISNUMBER(N146),ISNUMBER(N147)),(N147-N146)/($C147-$C146),"")</f>
        <v>-0.0217601220000006</v>
      </c>
      <c r="V146" s="8" t="n">
        <f aca="false">IF(ISNUMBER(F146),ROUND(F146,0),"")</f>
        <v>94</v>
      </c>
      <c r="W146" s="8" t="n">
        <f aca="false">IF(ISNUMBER(J146),ROUND(J146,0),"")</f>
        <v>89</v>
      </c>
      <c r="X146" s="8" t="n">
        <f aca="false">IF(ISNUMBER(N146),ROUND(N146,0),"")</f>
        <v>98</v>
      </c>
      <c r="Y146" s="4" t="str">
        <f aca="false">IF(AND($A146=$A147,V146=100,V147=100),"full access","")</f>
        <v/>
      </c>
      <c r="Z146" s="4" t="str">
        <f aca="false">IF(AND($A146=$A147,W146=100,W147=100),"full access","")</f>
        <v/>
      </c>
      <c r="AA146" s="4" t="str">
        <f aca="false">IF(AND($A146=$A147,X146=100,X147=100),"full access","")</f>
        <v/>
      </c>
      <c r="AB146" s="9" t="n">
        <f aca="false">IF(AND(ISNUMBER(T146),ISNUMBER(U146)),T146-U146,"")</f>
        <v>-0.0363405459999996</v>
      </c>
    </row>
    <row r="147" customFormat="false" ht="15" hidden="false" customHeight="false" outlineLevel="0" collapsed="false">
      <c r="A147" s="4" t="s">
        <v>155</v>
      </c>
      <c r="B147" s="4" t="str">
        <f aca="false">IFERROR(INDEX('Region Lookup'!$B$2:$B$233,MATCH(A147,'Region Lookup'!$A$2:$A$233,0)),"Not found")</f>
        <v>East Asia &amp; Pacific</v>
      </c>
      <c r="C147" s="4" t="n">
        <v>2020</v>
      </c>
      <c r="D147" s="6" t="n">
        <v>896.4439697</v>
      </c>
      <c r="E147" s="7" t="n">
        <v>57.24700546</v>
      </c>
      <c r="F147" s="7" t="n">
        <v>94.30106524</v>
      </c>
      <c r="G147" s="7" t="n">
        <v>0</v>
      </c>
      <c r="H147" s="7" t="n">
        <v>3.318602766</v>
      </c>
      <c r="I147" s="7" t="n">
        <v>2.380331999</v>
      </c>
      <c r="J147" s="7" t="n">
        <v>89.08802405</v>
      </c>
      <c r="K147" s="7" t="n">
        <v>0</v>
      </c>
      <c r="L147" s="7" t="n">
        <v>5.759897938</v>
      </c>
      <c r="M147" s="7" t="n">
        <v>5.152078012</v>
      </c>
      <c r="N147" s="7" t="n">
        <v>98.19424406</v>
      </c>
      <c r="O147" s="7" t="n">
        <v>0</v>
      </c>
      <c r="P147" s="7" t="n">
        <v>1.495409344</v>
      </c>
      <c r="Q147" s="7" t="n">
        <v>0.3103465922</v>
      </c>
      <c r="R147" s="8" t="str">
        <f aca="false">IF($A147=$A148,$C148-$C147,"")</f>
        <v/>
      </c>
      <c r="S147" s="9" t="str">
        <f aca="false">IF(AND($A147=$A148,ISNUMBER(F147),ISNUMBER(F148)),(F148-F147)/($C148-$C147),"")</f>
        <v/>
      </c>
      <c r="T147" s="9" t="str">
        <f aca="false">IF(AND($A147=$A148,ISNUMBER(J147),ISNUMBER(J148)),(J148-J147)/($C148-$C147),"")</f>
        <v/>
      </c>
      <c r="U147" s="9" t="str">
        <f aca="false">IF(AND($A147=$A148,ISNUMBER(N147),ISNUMBER(N148)),(N148-N147)/($C148-$C147),"")</f>
        <v/>
      </c>
      <c r="V147" s="8" t="n">
        <f aca="false">IF(ISNUMBER(F147),ROUND(F147,0),"")</f>
        <v>94</v>
      </c>
      <c r="W147" s="8" t="n">
        <f aca="false">IF(ISNUMBER(J147),ROUND(J147,0),"")</f>
        <v>89</v>
      </c>
      <c r="X147" s="8" t="n">
        <f aca="false">IF(ISNUMBER(N147),ROUND(N147,0),"")</f>
        <v>98</v>
      </c>
      <c r="Y147" s="4" t="str">
        <f aca="false">IF(AND($A147=$A148,V147=100,V148=100),"full access","")</f>
        <v/>
      </c>
      <c r="Z147" s="4" t="str">
        <f aca="false">IF(AND($A147=$A148,W147=100,W148=100),"full access","")</f>
        <v/>
      </c>
      <c r="AA147" s="4" t="str">
        <f aca="false">IF(AND($A147=$A148,X147=100,X148=100),"full access","")</f>
        <v/>
      </c>
      <c r="AB147" s="9" t="str">
        <f aca="false">IF(AND(ISNUMBER(T147),ISNUMBER(U147)),T147-U147,"")</f>
        <v/>
      </c>
    </row>
    <row r="148" customFormat="false" ht="15" hidden="false" customHeight="false" outlineLevel="0" collapsed="false">
      <c r="A148" s="10" t="s">
        <v>156</v>
      </c>
      <c r="B148" s="10" t="str">
        <f aca="false">IFERROR(INDEX('Region Lookup'!$B$2:$B$233,MATCH(A148,'Region Lookup'!$A$2:$A$233,0)),"Not found")</f>
        <v>Europe &amp; Central Asia</v>
      </c>
      <c r="C148" s="10" t="n">
        <v>2015</v>
      </c>
      <c r="D148" s="11" t="n">
        <v>5481.12793</v>
      </c>
      <c r="E148" s="12" t="n">
        <v>85.22499847</v>
      </c>
      <c r="F148" s="12" t="n">
        <v>99.99999666</v>
      </c>
      <c r="G148" s="12" t="n">
        <v>0</v>
      </c>
      <c r="H148" s="12" t="n">
        <v>3.34065308E-006</v>
      </c>
      <c r="I148" s="12" t="n">
        <v>0</v>
      </c>
      <c r="J148" s="12" t="n">
        <v>100</v>
      </c>
      <c r="K148" s="12" t="n">
        <v>0</v>
      </c>
      <c r="L148" s="12" t="n">
        <v>0</v>
      </c>
      <c r="M148" s="12" t="n">
        <v>0</v>
      </c>
      <c r="N148" s="12" t="n">
        <v>100</v>
      </c>
      <c r="O148" s="12" t="n">
        <v>0</v>
      </c>
      <c r="P148" s="12" t="n">
        <v>0</v>
      </c>
      <c r="Q148" s="12" t="n">
        <v>0</v>
      </c>
      <c r="R148" s="13" t="n">
        <f aca="false">IF($A148=$A149,$C149-$C148,"")</f>
        <v>5</v>
      </c>
      <c r="S148" s="14" t="n">
        <f aca="false">IF(AND($A148=$A149,ISNUMBER(F148),ISNUMBER(F149)),(F149-F148)/($C149-$C148),"")</f>
        <v>1.32800000187672E-006</v>
      </c>
      <c r="T148" s="14" t="n">
        <f aca="false">IF(AND($A148=$A149,ISNUMBER(J148),ISNUMBER(J149)),(J149-J148)/($C149-$C148),"")</f>
        <v>0</v>
      </c>
      <c r="U148" s="14" t="n">
        <f aca="false">IF(AND($A148=$A149,ISNUMBER(N148),ISNUMBER(N149)),(N149-N148)/($C149-$C148),"")</f>
        <v>0</v>
      </c>
      <c r="V148" s="13" t="n">
        <f aca="false">IF(ISNUMBER(F148),ROUND(F148,0),"")</f>
        <v>100</v>
      </c>
      <c r="W148" s="13" t="n">
        <f aca="false">IF(ISNUMBER(J148),ROUND(J148,0),"")</f>
        <v>100</v>
      </c>
      <c r="X148" s="13" t="n">
        <f aca="false">IF(ISNUMBER(N148),ROUND(N148,0),"")</f>
        <v>100</v>
      </c>
      <c r="Y148" s="10" t="str">
        <f aca="false">IF(AND($A148=$A149,V148=100,V149=100),"full access","")</f>
        <v>full access</v>
      </c>
      <c r="Z148" s="10" t="str">
        <f aca="false">IF(AND($A148=$A149,W148=100,W149=100),"full access","")</f>
        <v>full access</v>
      </c>
      <c r="AA148" s="10" t="str">
        <f aca="false">IF(AND($A148=$A149,X148=100,X149=100),"full access","")</f>
        <v>full access</v>
      </c>
      <c r="AB148" s="14" t="n">
        <f aca="false">IF(AND(ISNUMBER(T148),ISNUMBER(U148)),T148-U148,"")</f>
        <v>0</v>
      </c>
    </row>
    <row r="149" customFormat="false" ht="15" hidden="false" customHeight="false" outlineLevel="0" collapsed="false">
      <c r="A149" s="10" t="s">
        <v>156</v>
      </c>
      <c r="B149" s="10" t="str">
        <f aca="false">IFERROR(INDEX('Region Lookup'!$B$2:$B$233,MATCH(A149,'Region Lookup'!$A$2:$A$233,0)),"Not found")</f>
        <v>Europe &amp; Central Asia</v>
      </c>
      <c r="C149" s="10" t="n">
        <v>2020</v>
      </c>
      <c r="D149" s="11" t="n">
        <v>5540.717773</v>
      </c>
      <c r="E149" s="12" t="n">
        <v>85.51700592</v>
      </c>
      <c r="F149" s="12" t="n">
        <v>100.0000033</v>
      </c>
      <c r="G149" s="12" t="n">
        <v>0</v>
      </c>
      <c r="H149" s="12" t="n">
        <v>0</v>
      </c>
      <c r="I149" s="12" t="n">
        <v>0</v>
      </c>
      <c r="J149" s="12" t="n">
        <v>100</v>
      </c>
      <c r="K149" s="12" t="n">
        <v>0</v>
      </c>
      <c r="L149" s="12" t="n">
        <v>0</v>
      </c>
      <c r="M149" s="12" t="n">
        <v>0</v>
      </c>
      <c r="N149" s="12" t="n">
        <v>100</v>
      </c>
      <c r="O149" s="12" t="n">
        <v>0</v>
      </c>
      <c r="P149" s="12" t="n">
        <v>0</v>
      </c>
      <c r="Q149" s="12" t="n">
        <v>0</v>
      </c>
      <c r="R149" s="13" t="str">
        <f aca="false">IF($A149=$A150,$C150-$C149,"")</f>
        <v/>
      </c>
      <c r="S149" s="14" t="str">
        <f aca="false">IF(AND($A149=$A150,ISNUMBER(F149),ISNUMBER(F150)),(F150-F149)/($C150-$C149),"")</f>
        <v/>
      </c>
      <c r="T149" s="14" t="str">
        <f aca="false">IF(AND($A149=$A150,ISNUMBER(J149),ISNUMBER(J150)),(J150-J149)/($C150-$C149),"")</f>
        <v/>
      </c>
      <c r="U149" s="14" t="str">
        <f aca="false">IF(AND($A149=$A150,ISNUMBER(N149),ISNUMBER(N150)),(N150-N149)/($C150-$C149),"")</f>
        <v/>
      </c>
      <c r="V149" s="13" t="n">
        <f aca="false">IF(ISNUMBER(F149),ROUND(F149,0),"")</f>
        <v>100</v>
      </c>
      <c r="W149" s="13" t="n">
        <f aca="false">IF(ISNUMBER(J149),ROUND(J149,0),"")</f>
        <v>100</v>
      </c>
      <c r="X149" s="13" t="n">
        <f aca="false">IF(ISNUMBER(N149),ROUND(N149,0),"")</f>
        <v>100</v>
      </c>
      <c r="Y149" s="10" t="str">
        <f aca="false">IF(AND($A149=$A150,V149=100,V150=100),"full access","")</f>
        <v/>
      </c>
      <c r="Z149" s="10" t="str">
        <f aca="false">IF(AND($A149=$A150,W149=100,W150=100),"full access","")</f>
        <v/>
      </c>
      <c r="AA149" s="10" t="str">
        <f aca="false">IF(AND($A149=$A150,X149=100,X150=100),"full access","")</f>
        <v/>
      </c>
      <c r="AB149" s="14" t="str">
        <f aca="false">IF(AND(ISNUMBER(T149),ISNUMBER(U149)),T149-U149,"")</f>
        <v/>
      </c>
    </row>
    <row r="150" customFormat="false" ht="15" hidden="false" customHeight="false" outlineLevel="0" collapsed="false">
      <c r="A150" s="4" t="s">
        <v>157</v>
      </c>
      <c r="B150" s="4" t="str">
        <f aca="false">IFERROR(INDEX('Region Lookup'!$B$2:$B$233,MATCH(A150,'Region Lookup'!$A$2:$A$233,0)),"Not found")</f>
        <v>Europe &amp; Central Asia</v>
      </c>
      <c r="C150" s="4" t="n">
        <v>2015</v>
      </c>
      <c r="D150" s="6" t="n">
        <v>64453.19531</v>
      </c>
      <c r="E150" s="7" t="n">
        <v>79.65499878</v>
      </c>
      <c r="F150" s="7" t="n">
        <v>100</v>
      </c>
      <c r="G150" s="7" t="n">
        <v>0</v>
      </c>
      <c r="H150" s="7" t="n">
        <v>0</v>
      </c>
      <c r="I150" s="7" t="n">
        <v>0</v>
      </c>
      <c r="J150" s="7" t="n">
        <v>100</v>
      </c>
      <c r="K150" s="7" t="n">
        <v>0</v>
      </c>
      <c r="L150" s="7" t="n">
        <v>0</v>
      </c>
      <c r="M150" s="7" t="n">
        <v>0</v>
      </c>
      <c r="N150" s="7" t="n">
        <v>100</v>
      </c>
      <c r="O150" s="7" t="n">
        <v>0</v>
      </c>
      <c r="P150" s="7" t="n">
        <v>0</v>
      </c>
      <c r="Q150" s="7" t="n">
        <v>0</v>
      </c>
      <c r="R150" s="8" t="n">
        <f aca="false">IF($A150=$A151,$C151-$C150,"")</f>
        <v>5</v>
      </c>
      <c r="S150" s="9" t="n">
        <f aca="false">IF(AND($A150=$A151,ISNUMBER(F150),ISNUMBER(F151)),(F151-F150)/($C151-$C150),"")</f>
        <v>-2.99999999242573E-007</v>
      </c>
      <c r="T150" s="9" t="n">
        <f aca="false">IF(AND($A150=$A151,ISNUMBER(J150),ISNUMBER(J151)),(J151-J150)/($C151-$C150),"")</f>
        <v>0</v>
      </c>
      <c r="U150" s="9" t="n">
        <f aca="false">IF(AND($A150=$A151,ISNUMBER(N150),ISNUMBER(N151)),(N151-N150)/($C151-$C150),"")</f>
        <v>0</v>
      </c>
      <c r="V150" s="8" t="n">
        <f aca="false">IF(ISNUMBER(F150),ROUND(F150,0),"")</f>
        <v>100</v>
      </c>
      <c r="W150" s="8" t="n">
        <f aca="false">IF(ISNUMBER(J150),ROUND(J150,0),"")</f>
        <v>100</v>
      </c>
      <c r="X150" s="8" t="n">
        <f aca="false">IF(ISNUMBER(N150),ROUND(N150,0),"")</f>
        <v>100</v>
      </c>
      <c r="Y150" s="4" t="str">
        <f aca="false">IF(AND($A150=$A151,V150=100,V151=100),"full access","")</f>
        <v>full access</v>
      </c>
      <c r="Z150" s="4" t="str">
        <f aca="false">IF(AND($A150=$A151,W150=100,W151=100),"full access","")</f>
        <v>full access</v>
      </c>
      <c r="AA150" s="4" t="str">
        <f aca="false">IF(AND($A150=$A151,X150=100,X151=100),"full access","")</f>
        <v>full access</v>
      </c>
      <c r="AB150" s="9" t="n">
        <f aca="false">IF(AND(ISNUMBER(T150),ISNUMBER(U150)),T150-U150,"")</f>
        <v>0</v>
      </c>
    </row>
    <row r="151" customFormat="false" ht="15" hidden="false" customHeight="false" outlineLevel="0" collapsed="false">
      <c r="A151" s="4" t="s">
        <v>157</v>
      </c>
      <c r="B151" s="4" t="str">
        <f aca="false">IFERROR(INDEX('Region Lookup'!$B$2:$B$233,MATCH(A151,'Region Lookup'!$A$2:$A$233,0)),"Not found")</f>
        <v>Europe &amp; Central Asia</v>
      </c>
      <c r="C151" s="4" t="n">
        <v>2020</v>
      </c>
      <c r="D151" s="6" t="n">
        <v>65273.51172</v>
      </c>
      <c r="E151" s="7" t="n">
        <v>80.97499847</v>
      </c>
      <c r="F151" s="7" t="n">
        <v>99.9999985</v>
      </c>
      <c r="G151" s="7" t="n">
        <v>0</v>
      </c>
      <c r="H151" s="7" t="n">
        <v>1.49610841E-006</v>
      </c>
      <c r="I151" s="7" t="n">
        <v>0</v>
      </c>
      <c r="J151" s="7" t="n">
        <v>100</v>
      </c>
      <c r="K151" s="7" t="n">
        <v>0</v>
      </c>
      <c r="L151" s="7" t="n">
        <v>0</v>
      </c>
      <c r="M151" s="7" t="n">
        <v>0</v>
      </c>
      <c r="N151" s="7" t="n">
        <v>100</v>
      </c>
      <c r="O151" s="7" t="n">
        <v>0</v>
      </c>
      <c r="P151" s="7" t="n">
        <v>0</v>
      </c>
      <c r="Q151" s="7" t="n">
        <v>0</v>
      </c>
      <c r="R151" s="8" t="str">
        <f aca="false">IF($A151=$A152,$C152-$C151,"")</f>
        <v/>
      </c>
      <c r="S151" s="9" t="str">
        <f aca="false">IF(AND($A151=$A152,ISNUMBER(F151),ISNUMBER(F152)),(F152-F151)/($C152-$C151),"")</f>
        <v/>
      </c>
      <c r="T151" s="9" t="str">
        <f aca="false">IF(AND($A151=$A152,ISNUMBER(J151),ISNUMBER(J152)),(J152-J151)/($C152-$C151),"")</f>
        <v/>
      </c>
      <c r="U151" s="9" t="str">
        <f aca="false">IF(AND($A151=$A152,ISNUMBER(N151),ISNUMBER(N152)),(N152-N151)/($C152-$C151),"")</f>
        <v/>
      </c>
      <c r="V151" s="8" t="n">
        <f aca="false">IF(ISNUMBER(F151),ROUND(F151,0),"")</f>
        <v>100</v>
      </c>
      <c r="W151" s="8" t="n">
        <f aca="false">IF(ISNUMBER(J151),ROUND(J151,0),"")</f>
        <v>100</v>
      </c>
      <c r="X151" s="8" t="n">
        <f aca="false">IF(ISNUMBER(N151),ROUND(N151,0),"")</f>
        <v>100</v>
      </c>
      <c r="Y151" s="4" t="str">
        <f aca="false">IF(AND($A151=$A152,V151=100,V152=100),"full access","")</f>
        <v/>
      </c>
      <c r="Z151" s="4" t="str">
        <f aca="false">IF(AND($A151=$A152,W151=100,W152=100),"full access","")</f>
        <v/>
      </c>
      <c r="AA151" s="4" t="str">
        <f aca="false">IF(AND($A151=$A152,X151=100,X152=100),"full access","")</f>
        <v/>
      </c>
      <c r="AB151" s="9" t="str">
        <f aca="false">IF(AND(ISNUMBER(T151),ISNUMBER(U151)),T151-U151,"")</f>
        <v/>
      </c>
    </row>
    <row r="152" customFormat="false" ht="15" hidden="false" customHeight="false" outlineLevel="0" collapsed="false">
      <c r="A152" s="10" t="s">
        <v>158</v>
      </c>
      <c r="B152" s="10" t="str">
        <f aca="false">IFERROR(INDEX('Region Lookup'!$B$2:$B$233,MATCH(A152,'Region Lookup'!$A$2:$A$233,0)),"Not found")</f>
        <v>Latin America &amp; Caribbean</v>
      </c>
      <c r="C152" s="10" t="n">
        <v>2015</v>
      </c>
      <c r="D152" s="11" t="n">
        <v>261.0079956</v>
      </c>
      <c r="E152" s="12" t="n">
        <v>84.48200226</v>
      </c>
      <c r="F152" s="12" t="n">
        <v>93.56205657</v>
      </c>
      <c r="G152" s="12" t="n">
        <v>0</v>
      </c>
      <c r="H152" s="12" t="n">
        <v>6.437943425</v>
      </c>
      <c r="I152" s="12" t="n">
        <v>0</v>
      </c>
      <c r="J152" s="12"/>
      <c r="K152" s="12"/>
      <c r="L152" s="12"/>
      <c r="M152" s="12"/>
      <c r="N152" s="12"/>
      <c r="O152" s="12"/>
      <c r="P152" s="12"/>
      <c r="Q152" s="12"/>
      <c r="R152" s="13" t="n">
        <f aca="false">IF($A152=$A153,$C153-$C152,"")</f>
        <v>5</v>
      </c>
      <c r="S152" s="14" t="n">
        <f aca="false">IF(AND($A152=$A153,ISNUMBER(F152),ISNUMBER(F153)),(F153-F152)/($C153-$C152),"")</f>
        <v>0.0440319560000006</v>
      </c>
      <c r="T152" s="14" t="str">
        <f aca="false">IF(AND($A152=$A153,ISNUMBER(J152),ISNUMBER(J153)),(J153-J152)/($C153-$C152),"")</f>
        <v/>
      </c>
      <c r="U152" s="14" t="str">
        <f aca="false">IF(AND($A152=$A153,ISNUMBER(N152),ISNUMBER(N153)),(N153-N152)/($C153-$C152),"")</f>
        <v/>
      </c>
      <c r="V152" s="13" t="n">
        <f aca="false">IF(ISNUMBER(F152),ROUND(F152,0),"")</f>
        <v>94</v>
      </c>
      <c r="W152" s="13" t="str">
        <f aca="false">IF(ISNUMBER(J152),ROUND(J152,0),"")</f>
        <v/>
      </c>
      <c r="X152" s="13" t="str">
        <f aca="false">IF(ISNUMBER(N152),ROUND(N152,0),"")</f>
        <v/>
      </c>
      <c r="Y152" s="10" t="str">
        <f aca="false">IF(AND($A152=$A153,V152=100,V153=100),"full access","")</f>
        <v/>
      </c>
      <c r="Z152" s="10" t="str">
        <f aca="false">IF(AND($A152=$A153,W152=100,W153=100),"full access","")</f>
        <v/>
      </c>
      <c r="AA152" s="10" t="str">
        <f aca="false">IF(AND($A152=$A153,X152=100,X153=100),"full access","")</f>
        <v/>
      </c>
      <c r="AB152" s="14" t="str">
        <f aca="false">IF(AND(ISNUMBER(T152),ISNUMBER(U152)),T152-U152,"")</f>
        <v/>
      </c>
    </row>
    <row r="153" customFormat="false" ht="15" hidden="false" customHeight="false" outlineLevel="0" collapsed="false">
      <c r="A153" s="10" t="s">
        <v>158</v>
      </c>
      <c r="B153" s="10" t="str">
        <f aca="false">IFERROR(INDEX('Region Lookup'!$B$2:$B$233,MATCH(A153,'Region Lookup'!$A$2:$A$233,0)),"Not found")</f>
        <v>Latin America &amp; Caribbean</v>
      </c>
      <c r="C153" s="10" t="n">
        <v>2020</v>
      </c>
      <c r="D153" s="11" t="n">
        <v>298.6820068</v>
      </c>
      <c r="E153" s="12" t="n">
        <v>85.81999969</v>
      </c>
      <c r="F153" s="12" t="n">
        <v>93.78221635</v>
      </c>
      <c r="G153" s="12" t="n">
        <v>0</v>
      </c>
      <c r="H153" s="12" t="n">
        <v>6.217783652</v>
      </c>
      <c r="I153" s="12" t="n">
        <v>0</v>
      </c>
      <c r="J153" s="12"/>
      <c r="K153" s="12"/>
      <c r="L153" s="12"/>
      <c r="M153" s="12"/>
      <c r="N153" s="12"/>
      <c r="O153" s="12"/>
      <c r="P153" s="12"/>
      <c r="Q153" s="12"/>
      <c r="R153" s="13" t="str">
        <f aca="false">IF($A153=$A154,$C154-$C153,"")</f>
        <v/>
      </c>
      <c r="S153" s="14" t="str">
        <f aca="false">IF(AND($A153=$A154,ISNUMBER(F153),ISNUMBER(F154)),(F154-F153)/($C154-$C153),"")</f>
        <v/>
      </c>
      <c r="T153" s="14" t="str">
        <f aca="false">IF(AND($A153=$A154,ISNUMBER(J153),ISNUMBER(J154)),(J154-J153)/($C154-$C153),"")</f>
        <v/>
      </c>
      <c r="U153" s="14" t="str">
        <f aca="false">IF(AND($A153=$A154,ISNUMBER(N153),ISNUMBER(N154)),(N154-N153)/($C154-$C153),"")</f>
        <v/>
      </c>
      <c r="V153" s="13" t="n">
        <f aca="false">IF(ISNUMBER(F153),ROUND(F153,0),"")</f>
        <v>94</v>
      </c>
      <c r="W153" s="13" t="str">
        <f aca="false">IF(ISNUMBER(J153),ROUND(J153,0),"")</f>
        <v/>
      </c>
      <c r="X153" s="13" t="str">
        <f aca="false">IF(ISNUMBER(N153),ROUND(N153,0),"")</f>
        <v/>
      </c>
      <c r="Y153" s="10" t="str">
        <f aca="false">IF(AND($A153=$A154,V153=100,V154=100),"full access","")</f>
        <v/>
      </c>
      <c r="Z153" s="10" t="str">
        <f aca="false">IF(AND($A153=$A154,W153=100,W154=100),"full access","")</f>
        <v/>
      </c>
      <c r="AA153" s="10" t="str">
        <f aca="false">IF(AND($A153=$A154,X153=100,X154=100),"full access","")</f>
        <v/>
      </c>
      <c r="AB153" s="14" t="str">
        <f aca="false">IF(AND(ISNUMBER(T153),ISNUMBER(U153)),T153-U153,"")</f>
        <v/>
      </c>
    </row>
    <row r="154" customFormat="false" ht="15" hidden="false" customHeight="false" outlineLevel="0" collapsed="false">
      <c r="A154" s="4" t="s">
        <v>159</v>
      </c>
      <c r="B154" s="4" t="str">
        <f aca="false">IFERROR(INDEX('Region Lookup'!$B$2:$B$233,MATCH(A154,'Region Lookup'!$A$2:$A$233,0)),"Not found")</f>
        <v>East Asia &amp; Pacific</v>
      </c>
      <c r="C154" s="4" t="n">
        <v>2015</v>
      </c>
      <c r="D154" s="6" t="n">
        <v>273.118988</v>
      </c>
      <c r="E154" s="7" t="n">
        <v>61.68300247</v>
      </c>
      <c r="F154" s="7" t="n">
        <v>100</v>
      </c>
      <c r="G154" s="7" t="n">
        <v>0</v>
      </c>
      <c r="H154" s="7" t="n">
        <v>0</v>
      </c>
      <c r="I154" s="7" t="n">
        <v>0</v>
      </c>
      <c r="J154" s="7"/>
      <c r="K154" s="7"/>
      <c r="L154" s="7"/>
      <c r="M154" s="7"/>
      <c r="N154" s="7"/>
      <c r="O154" s="7"/>
      <c r="P154" s="7"/>
      <c r="Q154" s="7"/>
      <c r="R154" s="8" t="n">
        <f aca="false">IF($A154=$A155,$C155-$C154,"")</f>
        <v>5</v>
      </c>
      <c r="S154" s="9" t="n">
        <f aca="false">IF(AND($A154=$A155,ISNUMBER(F154),ISNUMBER(F155)),(F155-F154)/($C155-$C154),"")</f>
        <v>0</v>
      </c>
      <c r="T154" s="9" t="str">
        <f aca="false">IF(AND($A154=$A155,ISNUMBER(J154),ISNUMBER(J155)),(J155-J154)/($C155-$C154),"")</f>
        <v/>
      </c>
      <c r="U154" s="9" t="str">
        <f aca="false">IF(AND($A154=$A155,ISNUMBER(N154),ISNUMBER(N155)),(N155-N154)/($C155-$C154),"")</f>
        <v/>
      </c>
      <c r="V154" s="8" t="n">
        <f aca="false">IF(ISNUMBER(F154),ROUND(F154,0),"")</f>
        <v>100</v>
      </c>
      <c r="W154" s="8" t="str">
        <f aca="false">IF(ISNUMBER(J154),ROUND(J154,0),"")</f>
        <v/>
      </c>
      <c r="X154" s="8" t="str">
        <f aca="false">IF(ISNUMBER(N154),ROUND(N154,0),"")</f>
        <v/>
      </c>
      <c r="Y154" s="4" t="str">
        <f aca="false">IF(AND($A154=$A155,V154=100,V155=100),"full access","")</f>
        <v>full access</v>
      </c>
      <c r="Z154" s="4" t="str">
        <f aca="false">IF(AND($A154=$A155,W154=100,W155=100),"full access","")</f>
        <v/>
      </c>
      <c r="AA154" s="4" t="str">
        <f aca="false">IF(AND($A154=$A155,X154=100,X155=100),"full access","")</f>
        <v/>
      </c>
      <c r="AB154" s="9" t="str">
        <f aca="false">IF(AND(ISNUMBER(T154),ISNUMBER(U154)),T154-U154,"")</f>
        <v/>
      </c>
    </row>
    <row r="155" customFormat="false" ht="15" hidden="false" customHeight="false" outlineLevel="0" collapsed="false">
      <c r="A155" s="4" t="s">
        <v>159</v>
      </c>
      <c r="B155" s="4" t="str">
        <f aca="false">IFERROR(INDEX('Region Lookup'!$B$2:$B$233,MATCH(A155,'Region Lookup'!$A$2:$A$233,0)),"Not found")</f>
        <v>East Asia &amp; Pacific</v>
      </c>
      <c r="C155" s="4" t="n">
        <v>2020</v>
      </c>
      <c r="D155" s="6" t="n">
        <v>280.9039917</v>
      </c>
      <c r="E155" s="7" t="n">
        <v>61.97500229</v>
      </c>
      <c r="F155" s="7" t="n">
        <v>100</v>
      </c>
      <c r="G155" s="7" t="n">
        <v>0</v>
      </c>
      <c r="H155" s="7" t="n">
        <v>0</v>
      </c>
      <c r="I155" s="7" t="n">
        <v>0</v>
      </c>
      <c r="J155" s="7"/>
      <c r="K155" s="7"/>
      <c r="L155" s="7"/>
      <c r="M155" s="7"/>
      <c r="N155" s="7"/>
      <c r="O155" s="7"/>
      <c r="P155" s="7"/>
      <c r="Q155" s="7"/>
      <c r="R155" s="8" t="str">
        <f aca="false">IF($A155=$A156,$C156-$C155,"")</f>
        <v/>
      </c>
      <c r="S155" s="9" t="str">
        <f aca="false">IF(AND($A155=$A156,ISNUMBER(F155),ISNUMBER(F156)),(F156-F155)/($C156-$C155),"")</f>
        <v/>
      </c>
      <c r="T155" s="9" t="str">
        <f aca="false">IF(AND($A155=$A156,ISNUMBER(J155),ISNUMBER(J156)),(J156-J155)/($C156-$C155),"")</f>
        <v/>
      </c>
      <c r="U155" s="9" t="str">
        <f aca="false">IF(AND($A155=$A156,ISNUMBER(N155),ISNUMBER(N156)),(N156-N155)/($C156-$C155),"")</f>
        <v/>
      </c>
      <c r="V155" s="8" t="n">
        <f aca="false">IF(ISNUMBER(F155),ROUND(F155,0),"")</f>
        <v>100</v>
      </c>
      <c r="W155" s="8" t="str">
        <f aca="false">IF(ISNUMBER(J155),ROUND(J155,0),"")</f>
        <v/>
      </c>
      <c r="X155" s="8" t="str">
        <f aca="false">IF(ISNUMBER(N155),ROUND(N155,0),"")</f>
        <v/>
      </c>
      <c r="Y155" s="4" t="str">
        <f aca="false">IF(AND($A155=$A156,V155=100,V156=100),"full access","")</f>
        <v/>
      </c>
      <c r="Z155" s="4" t="str">
        <f aca="false">IF(AND($A155=$A156,W155=100,W156=100),"full access","")</f>
        <v/>
      </c>
      <c r="AA155" s="4" t="str">
        <f aca="false">IF(AND($A155=$A156,X155=100,X156=100),"full access","")</f>
        <v/>
      </c>
      <c r="AB155" s="9" t="str">
        <f aca="false">IF(AND(ISNUMBER(T155),ISNUMBER(U155)),T155-U155,"")</f>
        <v/>
      </c>
    </row>
    <row r="156" customFormat="false" ht="15" hidden="false" customHeight="false" outlineLevel="0" collapsed="false">
      <c r="A156" s="10" t="s">
        <v>160</v>
      </c>
      <c r="B156" s="10" t="str">
        <f aca="false">IFERROR(INDEX('Region Lookup'!$B$2:$B$233,MATCH(A156,'Region Lookup'!$A$2:$A$233,0)),"Not found")</f>
        <v>Sub-Saharan Africa</v>
      </c>
      <c r="C156" s="10" t="n">
        <v>2015</v>
      </c>
      <c r="D156" s="11" t="n">
        <v>1947.689941</v>
      </c>
      <c r="E156" s="12" t="n">
        <v>88.11799622</v>
      </c>
      <c r="F156" s="12" t="n">
        <v>83.85848655</v>
      </c>
      <c r="G156" s="12" t="n">
        <v>7.722430434</v>
      </c>
      <c r="H156" s="12" t="n">
        <v>4.92418211</v>
      </c>
      <c r="I156" s="12" t="n">
        <v>3.494900901</v>
      </c>
      <c r="J156" s="12" t="n">
        <v>43.39003316</v>
      </c>
      <c r="K156" s="12" t="n">
        <v>10.19264777</v>
      </c>
      <c r="L156" s="12" t="n">
        <v>21.81093263</v>
      </c>
      <c r="M156" s="12" t="n">
        <v>24.60638644</v>
      </c>
      <c r="N156" s="12" t="n">
        <v>89.31533187</v>
      </c>
      <c r="O156" s="12" t="n">
        <v>7.389341617</v>
      </c>
      <c r="P156" s="12" t="n">
        <v>2.647139145</v>
      </c>
      <c r="Q156" s="12" t="n">
        <v>0.6481873668</v>
      </c>
      <c r="R156" s="13" t="n">
        <f aca="false">IF($A156=$A157,$C157-$C156,"")</f>
        <v>5</v>
      </c>
      <c r="S156" s="14" t="n">
        <f aca="false">IF(AND($A156=$A157,ISNUMBER(F156),ISNUMBER(F157)),(F157-F156)/($C157-$C156),"")</f>
        <v>0.296688810000001</v>
      </c>
      <c r="T156" s="14" t="n">
        <f aca="false">IF(AND($A156=$A157,ISNUMBER(J156),ISNUMBER(J157)),(J157-J156)/($C157-$C156),"")</f>
        <v>0.27117117</v>
      </c>
      <c r="U156" s="14" t="n">
        <f aca="false">IF(AND($A156=$A157,ISNUMBER(N156),ISNUMBER(N157)),(N157-N156)/($C157-$C156),"")</f>
        <v>0.0982414599999999</v>
      </c>
      <c r="V156" s="13" t="n">
        <f aca="false">IF(ISNUMBER(F156),ROUND(F156,0),"")</f>
        <v>84</v>
      </c>
      <c r="W156" s="13" t="n">
        <f aca="false">IF(ISNUMBER(J156),ROUND(J156,0),"")</f>
        <v>43</v>
      </c>
      <c r="X156" s="13" t="n">
        <f aca="false">IF(ISNUMBER(N156),ROUND(N156,0),"")</f>
        <v>89</v>
      </c>
      <c r="Y156" s="10" t="str">
        <f aca="false">IF(AND($A156=$A157,V156=100,V157=100),"full access","")</f>
        <v/>
      </c>
      <c r="Z156" s="10" t="str">
        <f aca="false">IF(AND($A156=$A157,W156=100,W157=100),"full access","")</f>
        <v/>
      </c>
      <c r="AA156" s="10" t="str">
        <f aca="false">IF(AND($A156=$A157,X156=100,X157=100),"full access","")</f>
        <v/>
      </c>
      <c r="AB156" s="14" t="n">
        <f aca="false">IF(AND(ISNUMBER(T156),ISNUMBER(U156)),T156-U156,"")</f>
        <v>0.17292971</v>
      </c>
    </row>
    <row r="157" customFormat="false" ht="15" hidden="false" customHeight="false" outlineLevel="0" collapsed="false">
      <c r="A157" s="10" t="s">
        <v>160</v>
      </c>
      <c r="B157" s="10" t="str">
        <f aca="false">IFERROR(INDEX('Region Lookup'!$B$2:$B$233,MATCH(A157,'Region Lookup'!$A$2:$A$233,0)),"Not found")</f>
        <v>Sub-Saharan Africa</v>
      </c>
      <c r="C157" s="10" t="n">
        <v>2020</v>
      </c>
      <c r="D157" s="11" t="n">
        <v>2225.728027</v>
      </c>
      <c r="E157" s="12" t="n">
        <v>90.09200287</v>
      </c>
      <c r="F157" s="12" t="n">
        <v>85.3419306</v>
      </c>
      <c r="G157" s="12" t="n">
        <v>7.735263103</v>
      </c>
      <c r="H157" s="12" t="n">
        <v>6.922808357</v>
      </c>
      <c r="I157" s="12"/>
      <c r="J157" s="12" t="n">
        <v>44.74588901</v>
      </c>
      <c r="K157" s="12" t="n">
        <v>10.51114859</v>
      </c>
      <c r="L157" s="12" t="n">
        <v>44.7429624</v>
      </c>
      <c r="M157" s="12"/>
      <c r="N157" s="12" t="n">
        <v>89.80653917</v>
      </c>
      <c r="O157" s="12" t="n">
        <v>7.42998076</v>
      </c>
      <c r="P157" s="12" t="n">
        <v>2.763480072</v>
      </c>
      <c r="Q157" s="12"/>
      <c r="R157" s="13" t="str">
        <f aca="false">IF($A157=$A158,$C158-$C157,"")</f>
        <v/>
      </c>
      <c r="S157" s="14" t="str">
        <f aca="false">IF(AND($A157=$A158,ISNUMBER(F157),ISNUMBER(F158)),(F158-F157)/($C158-$C157),"")</f>
        <v/>
      </c>
      <c r="T157" s="14" t="str">
        <f aca="false">IF(AND($A157=$A158,ISNUMBER(J157),ISNUMBER(J158)),(J158-J157)/($C158-$C157),"")</f>
        <v/>
      </c>
      <c r="U157" s="14" t="str">
        <f aca="false">IF(AND($A157=$A158,ISNUMBER(N157),ISNUMBER(N158)),(N158-N157)/($C158-$C157),"")</f>
        <v/>
      </c>
      <c r="V157" s="13" t="n">
        <f aca="false">IF(ISNUMBER(F157),ROUND(F157,0),"")</f>
        <v>85</v>
      </c>
      <c r="W157" s="13" t="n">
        <f aca="false">IF(ISNUMBER(J157),ROUND(J157,0),"")</f>
        <v>45</v>
      </c>
      <c r="X157" s="13" t="n">
        <f aca="false">IF(ISNUMBER(N157),ROUND(N157,0),"")</f>
        <v>90</v>
      </c>
      <c r="Y157" s="10" t="str">
        <f aca="false">IF(AND($A157=$A158,V157=100,V158=100),"full access","")</f>
        <v/>
      </c>
      <c r="Z157" s="10" t="str">
        <f aca="false">IF(AND($A157=$A158,W157=100,W158=100),"full access","")</f>
        <v/>
      </c>
      <c r="AA157" s="10" t="str">
        <f aca="false">IF(AND($A157=$A158,X157=100,X158=100),"full access","")</f>
        <v/>
      </c>
      <c r="AB157" s="14" t="str">
        <f aca="false">IF(AND(ISNUMBER(T157),ISNUMBER(U157)),T157-U157,"")</f>
        <v/>
      </c>
    </row>
    <row r="158" customFormat="false" ht="15" hidden="false" customHeight="false" outlineLevel="0" collapsed="false">
      <c r="A158" s="4" t="s">
        <v>161</v>
      </c>
      <c r="B158" s="4" t="str">
        <f aca="false">IFERROR(INDEX('Region Lookup'!$B$2:$B$233,MATCH(A158,'Region Lookup'!$A$2:$A$233,0)),"Not found")</f>
        <v>Sub-Saharan Africa</v>
      </c>
      <c r="C158" s="4" t="n">
        <v>2015</v>
      </c>
      <c r="D158" s="6" t="n">
        <v>2085.860107</v>
      </c>
      <c r="E158" s="7" t="n">
        <v>59.22800064</v>
      </c>
      <c r="F158" s="7" t="n">
        <v>79.2101665</v>
      </c>
      <c r="G158" s="7" t="n">
        <v>9.073370006</v>
      </c>
      <c r="H158" s="7" t="n">
        <v>11.62401462</v>
      </c>
      <c r="I158" s="7" t="n">
        <v>0.09244887038</v>
      </c>
      <c r="J158" s="7" t="n">
        <v>68.25489257</v>
      </c>
      <c r="K158" s="7" t="n">
        <v>15.34008454</v>
      </c>
      <c r="L158" s="7" t="n">
        <v>16.32238996</v>
      </c>
      <c r="M158" s="7" t="n">
        <v>0.08263292471</v>
      </c>
      <c r="N158" s="7" t="n">
        <v>86.75167126</v>
      </c>
      <c r="O158" s="7" t="n">
        <v>4.759421567</v>
      </c>
      <c r="P158" s="7" t="n">
        <v>8.389701102</v>
      </c>
      <c r="Q158" s="7" t="n">
        <v>0.0992060715</v>
      </c>
      <c r="R158" s="8" t="n">
        <f aca="false">IF($A158=$A159,$C159-$C158,"")</f>
        <v>5</v>
      </c>
      <c r="S158" s="9" t="n">
        <f aca="false">IF(AND($A158=$A159,ISNUMBER(F158),ISNUMBER(F159)),(F159-F158)/($C159-$C158),"")</f>
        <v>0.346048128000001</v>
      </c>
      <c r="T158" s="9" t="n">
        <f aca="false">IF(AND($A158=$A159,ISNUMBER(J158),ISNUMBER(J159)),(J159-J158)/($C159-$C158),"")</f>
        <v>0.186726128000001</v>
      </c>
      <c r="U158" s="9" t="n">
        <f aca="false">IF(AND($A158=$A159,ISNUMBER(N158),ISNUMBER(N159)),(N159-N158)/($C159-$C158),"")</f>
        <v>0.243046602000001</v>
      </c>
      <c r="V158" s="8" t="n">
        <f aca="false">IF(ISNUMBER(F158),ROUND(F158,0),"")</f>
        <v>79</v>
      </c>
      <c r="W158" s="8" t="n">
        <f aca="false">IF(ISNUMBER(J158),ROUND(J158,0),"")</f>
        <v>68</v>
      </c>
      <c r="X158" s="8" t="n">
        <f aca="false">IF(ISNUMBER(N158),ROUND(N158,0),"")</f>
        <v>87</v>
      </c>
      <c r="Y158" s="4" t="str">
        <f aca="false">IF(AND($A158=$A159,V158=100,V159=100),"full access","")</f>
        <v/>
      </c>
      <c r="Z158" s="4" t="str">
        <f aca="false">IF(AND($A158=$A159,W158=100,W159=100),"full access","")</f>
        <v/>
      </c>
      <c r="AA158" s="4" t="str">
        <f aca="false">IF(AND($A158=$A159,X158=100,X159=100),"full access","")</f>
        <v/>
      </c>
      <c r="AB158" s="9" t="n">
        <f aca="false">IF(AND(ISNUMBER(T158),ISNUMBER(U158)),T158-U158,"")</f>
        <v>-0.0563204740000003</v>
      </c>
    </row>
    <row r="159" customFormat="false" ht="15" hidden="false" customHeight="false" outlineLevel="0" collapsed="false">
      <c r="A159" s="4" t="s">
        <v>161</v>
      </c>
      <c r="B159" s="4" t="str">
        <f aca="false">IFERROR(INDEX('Region Lookup'!$B$2:$B$233,MATCH(A159,'Region Lookup'!$A$2:$A$233,0)),"Not found")</f>
        <v>Sub-Saharan Africa</v>
      </c>
      <c r="C159" s="4" t="n">
        <v>2020</v>
      </c>
      <c r="D159" s="6" t="n">
        <v>2416.664063</v>
      </c>
      <c r="E159" s="7" t="n">
        <v>62.58199692</v>
      </c>
      <c r="F159" s="7" t="n">
        <v>80.94040714</v>
      </c>
      <c r="G159" s="7" t="n">
        <v>8.597391391</v>
      </c>
      <c r="H159" s="7" t="n">
        <v>10.35285207</v>
      </c>
      <c r="I159" s="7" t="n">
        <v>0.1093493927</v>
      </c>
      <c r="J159" s="7" t="n">
        <v>69.18852321</v>
      </c>
      <c r="K159" s="7" t="n">
        <v>16.49783239</v>
      </c>
      <c r="L159" s="7" t="n">
        <v>14.24376547</v>
      </c>
      <c r="M159" s="7" t="n">
        <v>0.0698789368</v>
      </c>
      <c r="N159" s="7" t="n">
        <v>87.96690427</v>
      </c>
      <c r="O159" s="7" t="n">
        <v>3.873689522</v>
      </c>
      <c r="P159" s="7" t="n">
        <v>8.026457278</v>
      </c>
      <c r="Q159" s="7" t="n">
        <v>0.1329489253</v>
      </c>
      <c r="R159" s="8" t="str">
        <f aca="false">IF($A159=$A160,$C160-$C159,"")</f>
        <v/>
      </c>
      <c r="S159" s="9" t="str">
        <f aca="false">IF(AND($A159=$A160,ISNUMBER(F159),ISNUMBER(F160)),(F160-F159)/($C160-$C159),"")</f>
        <v/>
      </c>
      <c r="T159" s="9" t="str">
        <f aca="false">IF(AND($A159=$A160,ISNUMBER(J159),ISNUMBER(J160)),(J160-J159)/($C160-$C159),"")</f>
        <v/>
      </c>
      <c r="U159" s="9" t="str">
        <f aca="false">IF(AND($A159=$A160,ISNUMBER(N159),ISNUMBER(N160)),(N160-N159)/($C160-$C159),"")</f>
        <v/>
      </c>
      <c r="V159" s="8" t="n">
        <f aca="false">IF(ISNUMBER(F159),ROUND(F159,0),"")</f>
        <v>81</v>
      </c>
      <c r="W159" s="8" t="n">
        <f aca="false">IF(ISNUMBER(J159),ROUND(J159,0),"")</f>
        <v>69</v>
      </c>
      <c r="X159" s="8" t="n">
        <f aca="false">IF(ISNUMBER(N159),ROUND(N159,0),"")</f>
        <v>88</v>
      </c>
      <c r="Y159" s="4" t="str">
        <f aca="false">IF(AND($A159=$A160,V159=100,V160=100),"full access","")</f>
        <v/>
      </c>
      <c r="Z159" s="4" t="str">
        <f aca="false">IF(AND($A159=$A160,W159=100,W160=100),"full access","")</f>
        <v/>
      </c>
      <c r="AA159" s="4" t="str">
        <f aca="false">IF(AND($A159=$A160,X159=100,X160=100),"full access","")</f>
        <v/>
      </c>
      <c r="AB159" s="9" t="str">
        <f aca="false">IF(AND(ISNUMBER(T159),ISNUMBER(U159)),T159-U159,"")</f>
        <v/>
      </c>
    </row>
    <row r="160" customFormat="false" ht="15" hidden="false" customHeight="false" outlineLevel="0" collapsed="false">
      <c r="A160" s="10" t="s">
        <v>162</v>
      </c>
      <c r="B160" s="10" t="str">
        <f aca="false">IFERROR(INDEX('Region Lookup'!$B$2:$B$233,MATCH(A160,'Region Lookup'!$A$2:$A$233,0)),"Not found")</f>
        <v>Europe &amp; Central Asia</v>
      </c>
      <c r="C160" s="10" t="n">
        <v>2015</v>
      </c>
      <c r="D160" s="11" t="n">
        <v>4024.179932</v>
      </c>
      <c r="E160" s="12" t="n">
        <v>57.44799805</v>
      </c>
      <c r="F160" s="12" t="n">
        <v>95.75472951</v>
      </c>
      <c r="G160" s="12" t="n">
        <v>0.9519645583</v>
      </c>
      <c r="H160" s="12" t="n">
        <v>3.239894931</v>
      </c>
      <c r="I160" s="12" t="n">
        <v>0.0534109954</v>
      </c>
      <c r="J160" s="12" t="n">
        <v>91.29515059</v>
      </c>
      <c r="K160" s="12" t="n">
        <v>1.893756292</v>
      </c>
      <c r="L160" s="12" t="n">
        <v>6.700216388</v>
      </c>
      <c r="M160" s="12" t="n">
        <v>0.1108767321</v>
      </c>
      <c r="N160" s="12" t="n">
        <v>99.05796545</v>
      </c>
      <c r="O160" s="12" t="n">
        <v>0.2543750856</v>
      </c>
      <c r="P160" s="12" t="n">
        <v>0.6768136054</v>
      </c>
      <c r="Q160" s="12" t="n">
        <v>0.01084585945</v>
      </c>
      <c r="R160" s="13" t="n">
        <f aca="false">IF($A160=$A161,$C161-$C160,"")</f>
        <v>5</v>
      </c>
      <c r="S160" s="14" t="n">
        <f aca="false">IF(AND($A160=$A161,ISNUMBER(F160),ISNUMBER(F161)),(F161-F160)/($C161-$C160),"")</f>
        <v>0.318682038</v>
      </c>
      <c r="T160" s="14" t="n">
        <f aca="false">IF(AND($A160=$A161,ISNUMBER(J160),ISNUMBER(J161)),(J161-J160)/($C161-$C160),"")</f>
        <v>0.595346721999999</v>
      </c>
      <c r="U160" s="14" t="n">
        <f aca="false">IF(AND($A160=$A161,ISNUMBER(N160),ISNUMBER(N161)),(N161-N160)/($C161-$C160),"")</f>
        <v>0.0776376980000009</v>
      </c>
      <c r="V160" s="13" t="n">
        <f aca="false">IF(ISNUMBER(F160),ROUND(F160,0),"")</f>
        <v>96</v>
      </c>
      <c r="W160" s="13" t="n">
        <f aca="false">IF(ISNUMBER(J160),ROUND(J160,0),"")</f>
        <v>91</v>
      </c>
      <c r="X160" s="13" t="n">
        <f aca="false">IF(ISNUMBER(N160),ROUND(N160,0),"")</f>
        <v>99</v>
      </c>
      <c r="Y160" s="10" t="str">
        <f aca="false">IF(AND($A160=$A161,V160=100,V161=100),"full access","")</f>
        <v/>
      </c>
      <c r="Z160" s="10" t="str">
        <f aca="false">IF(AND($A160=$A161,W160=100,W161=100),"full access","")</f>
        <v/>
      </c>
      <c r="AA160" s="10" t="str">
        <f aca="false">IF(AND($A160=$A161,X160=100,X161=100),"full access","")</f>
        <v/>
      </c>
      <c r="AB160" s="14" t="n">
        <f aca="false">IF(AND(ISNUMBER(T160),ISNUMBER(U160)),T160-U160,"")</f>
        <v>0.517709023999998</v>
      </c>
    </row>
    <row r="161" customFormat="false" ht="15" hidden="false" customHeight="false" outlineLevel="0" collapsed="false">
      <c r="A161" s="10" t="s">
        <v>162</v>
      </c>
      <c r="B161" s="10" t="str">
        <f aca="false">IFERROR(INDEX('Region Lookup'!$B$2:$B$233,MATCH(A161,'Region Lookup'!$A$2:$A$233,0)),"Not found")</f>
        <v>Europe &amp; Central Asia</v>
      </c>
      <c r="C161" s="10" t="n">
        <v>2020</v>
      </c>
      <c r="D161" s="11" t="n">
        <v>3989.175049</v>
      </c>
      <c r="E161" s="12" t="n">
        <v>59.4529953</v>
      </c>
      <c r="F161" s="12" t="n">
        <v>97.3481397</v>
      </c>
      <c r="G161" s="12" t="n">
        <v>0</v>
      </c>
      <c r="H161" s="12" t="n">
        <v>2.632761379</v>
      </c>
      <c r="I161" s="12" t="n">
        <v>0.01909892327</v>
      </c>
      <c r="J161" s="12" t="n">
        <v>94.2718842</v>
      </c>
      <c r="K161" s="12" t="n">
        <v>0</v>
      </c>
      <c r="L161" s="12" t="n">
        <v>5.703923618</v>
      </c>
      <c r="M161" s="12" t="n">
        <v>0.02419218345</v>
      </c>
      <c r="N161" s="12" t="n">
        <v>99.44615394</v>
      </c>
      <c r="O161" s="12" t="n">
        <v>0</v>
      </c>
      <c r="P161" s="12" t="n">
        <v>0.538220742</v>
      </c>
      <c r="Q161" s="12" t="n">
        <v>0.01562531586</v>
      </c>
      <c r="R161" s="13" t="str">
        <f aca="false">IF($A161=$A162,$C162-$C161,"")</f>
        <v/>
      </c>
      <c r="S161" s="14" t="str">
        <f aca="false">IF(AND($A161=$A162,ISNUMBER(F161),ISNUMBER(F162)),(F162-F161)/($C162-$C161),"")</f>
        <v/>
      </c>
      <c r="T161" s="14" t="str">
        <f aca="false">IF(AND($A161=$A162,ISNUMBER(J161),ISNUMBER(J162)),(J162-J161)/($C162-$C161),"")</f>
        <v/>
      </c>
      <c r="U161" s="14" t="str">
        <f aca="false">IF(AND($A161=$A162,ISNUMBER(N161),ISNUMBER(N162)),(N162-N161)/($C162-$C161),"")</f>
        <v/>
      </c>
      <c r="V161" s="13" t="n">
        <f aca="false">IF(ISNUMBER(F161),ROUND(F161,0),"")</f>
        <v>97</v>
      </c>
      <c r="W161" s="13" t="n">
        <f aca="false">IF(ISNUMBER(J161),ROUND(J161,0),"")</f>
        <v>94</v>
      </c>
      <c r="X161" s="13" t="n">
        <f aca="false">IF(ISNUMBER(N161),ROUND(N161,0),"")</f>
        <v>99</v>
      </c>
      <c r="Y161" s="10" t="str">
        <f aca="false">IF(AND($A161=$A162,V161=100,V162=100),"full access","")</f>
        <v/>
      </c>
      <c r="Z161" s="10" t="str">
        <f aca="false">IF(AND($A161=$A162,W161=100,W162=100),"full access","")</f>
        <v/>
      </c>
      <c r="AA161" s="10" t="str">
        <f aca="false">IF(AND($A161=$A162,X161=100,X162=100),"full access","")</f>
        <v/>
      </c>
      <c r="AB161" s="14" t="str">
        <f aca="false">IF(AND(ISNUMBER(T161),ISNUMBER(U161)),T161-U161,"")</f>
        <v/>
      </c>
    </row>
    <row r="162" customFormat="false" ht="15" hidden="false" customHeight="false" outlineLevel="0" collapsed="false">
      <c r="A162" s="4" t="s">
        <v>163</v>
      </c>
      <c r="B162" s="4" t="str">
        <f aca="false">IFERROR(INDEX('Region Lookup'!$B$2:$B$233,MATCH(A162,'Region Lookup'!$A$2:$A$233,0)),"Not found")</f>
        <v>Europe &amp; Central Asia</v>
      </c>
      <c r="C162" s="4" t="n">
        <v>2015</v>
      </c>
      <c r="D162" s="6" t="n">
        <v>81787.41406</v>
      </c>
      <c r="E162" s="7" t="n">
        <v>77.20000458</v>
      </c>
      <c r="F162" s="7" t="n">
        <v>100.0000024</v>
      </c>
      <c r="G162" s="7" t="n">
        <v>0</v>
      </c>
      <c r="H162" s="7" t="n">
        <v>0</v>
      </c>
      <c r="I162" s="7" t="n">
        <v>0</v>
      </c>
      <c r="J162" s="7" t="n">
        <v>100</v>
      </c>
      <c r="K162" s="7" t="n">
        <v>0</v>
      </c>
      <c r="L162" s="7" t="n">
        <v>0</v>
      </c>
      <c r="M162" s="7" t="n">
        <v>0</v>
      </c>
      <c r="N162" s="7" t="n">
        <v>100</v>
      </c>
      <c r="O162" s="7" t="n">
        <v>0</v>
      </c>
      <c r="P162" s="7" t="n">
        <v>0</v>
      </c>
      <c r="Q162" s="7" t="n">
        <v>0</v>
      </c>
      <c r="R162" s="8" t="n">
        <f aca="false">IF($A162=$A163,$C163-$C162,"")</f>
        <v>5</v>
      </c>
      <c r="S162" s="9" t="n">
        <f aca="false">IF(AND($A162=$A163,ISNUMBER(F162),ISNUMBER(F163)),(F163-F162)/($C163-$C162),"")</f>
        <v>-1.99999988126365E-008</v>
      </c>
      <c r="T162" s="9" t="n">
        <f aca="false">IF(AND($A162=$A163,ISNUMBER(J162),ISNUMBER(J163)),(J163-J162)/($C163-$C162),"")</f>
        <v>0</v>
      </c>
      <c r="U162" s="9" t="n">
        <f aca="false">IF(AND($A162=$A163,ISNUMBER(N162),ISNUMBER(N163)),(N163-N162)/($C163-$C162),"")</f>
        <v>0</v>
      </c>
      <c r="V162" s="8" t="n">
        <f aca="false">IF(ISNUMBER(F162),ROUND(F162,0),"")</f>
        <v>100</v>
      </c>
      <c r="W162" s="8" t="n">
        <f aca="false">IF(ISNUMBER(J162),ROUND(J162,0),"")</f>
        <v>100</v>
      </c>
      <c r="X162" s="8" t="n">
        <f aca="false">IF(ISNUMBER(N162),ROUND(N162,0),"")</f>
        <v>100</v>
      </c>
      <c r="Y162" s="4" t="str">
        <f aca="false">IF(AND($A162=$A163,V162=100,V163=100),"full access","")</f>
        <v>full access</v>
      </c>
      <c r="Z162" s="4" t="str">
        <f aca="false">IF(AND($A162=$A163,W162=100,W163=100),"full access","")</f>
        <v>full access</v>
      </c>
      <c r="AA162" s="4" t="str">
        <f aca="false">IF(AND($A162=$A163,X162=100,X163=100),"full access","")</f>
        <v>full access</v>
      </c>
      <c r="AB162" s="9" t="n">
        <f aca="false">IF(AND(ISNUMBER(T162),ISNUMBER(U162)),T162-U162,"")</f>
        <v>0</v>
      </c>
    </row>
    <row r="163" customFormat="false" ht="15" hidden="false" customHeight="false" outlineLevel="0" collapsed="false">
      <c r="A163" s="4" t="s">
        <v>163</v>
      </c>
      <c r="B163" s="4" t="str">
        <f aca="false">IFERROR(INDEX('Region Lookup'!$B$2:$B$233,MATCH(A163,'Region Lookup'!$A$2:$A$233,0)),"Not found")</f>
        <v>Europe &amp; Central Asia</v>
      </c>
      <c r="C163" s="4" t="n">
        <v>2020</v>
      </c>
      <c r="D163" s="6" t="n">
        <v>83783.94531</v>
      </c>
      <c r="E163" s="7" t="n">
        <v>77.45300293</v>
      </c>
      <c r="F163" s="7" t="n">
        <v>100.0000023</v>
      </c>
      <c r="G163" s="7" t="n">
        <v>0</v>
      </c>
      <c r="H163" s="7" t="n">
        <v>0</v>
      </c>
      <c r="I163" s="7" t="n">
        <v>0</v>
      </c>
      <c r="J163" s="7" t="n">
        <v>100</v>
      </c>
      <c r="K163" s="7" t="n">
        <v>0</v>
      </c>
      <c r="L163" s="7" t="n">
        <v>0</v>
      </c>
      <c r="M163" s="7" t="n">
        <v>0</v>
      </c>
      <c r="N163" s="7" t="n">
        <v>100</v>
      </c>
      <c r="O163" s="7" t="n">
        <v>0</v>
      </c>
      <c r="P163" s="7" t="n">
        <v>0</v>
      </c>
      <c r="Q163" s="7" t="n">
        <v>0</v>
      </c>
      <c r="R163" s="8" t="str">
        <f aca="false">IF($A163=$A164,$C164-$C163,"")</f>
        <v/>
      </c>
      <c r="S163" s="9" t="str">
        <f aca="false">IF(AND($A163=$A164,ISNUMBER(F163),ISNUMBER(F164)),(F164-F163)/($C164-$C163),"")</f>
        <v/>
      </c>
      <c r="T163" s="9" t="str">
        <f aca="false">IF(AND($A163=$A164,ISNUMBER(J163),ISNUMBER(J164)),(J164-J163)/($C164-$C163),"")</f>
        <v/>
      </c>
      <c r="U163" s="9" t="str">
        <f aca="false">IF(AND($A163=$A164,ISNUMBER(N163),ISNUMBER(N164)),(N164-N163)/($C164-$C163),"")</f>
        <v/>
      </c>
      <c r="V163" s="8" t="n">
        <f aca="false">IF(ISNUMBER(F163),ROUND(F163,0),"")</f>
        <v>100</v>
      </c>
      <c r="W163" s="8" t="n">
        <f aca="false">IF(ISNUMBER(J163),ROUND(J163,0),"")</f>
        <v>100</v>
      </c>
      <c r="X163" s="8" t="n">
        <f aca="false">IF(ISNUMBER(N163),ROUND(N163,0),"")</f>
        <v>100</v>
      </c>
      <c r="Y163" s="4" t="str">
        <f aca="false">IF(AND($A163=$A164,V163=100,V164=100),"full access","")</f>
        <v/>
      </c>
      <c r="Z163" s="4" t="str">
        <f aca="false">IF(AND($A163=$A164,W163=100,W164=100),"full access","")</f>
        <v/>
      </c>
      <c r="AA163" s="4" t="str">
        <f aca="false">IF(AND($A163=$A164,X163=100,X164=100),"full access","")</f>
        <v/>
      </c>
      <c r="AB163" s="9" t="str">
        <f aca="false">IF(AND(ISNUMBER(T163),ISNUMBER(U163)),T163-U163,"")</f>
        <v/>
      </c>
    </row>
    <row r="164" customFormat="false" ht="15" hidden="false" customHeight="false" outlineLevel="0" collapsed="false">
      <c r="A164" s="10" t="s">
        <v>164</v>
      </c>
      <c r="B164" s="10" t="str">
        <f aca="false">IFERROR(INDEX('Region Lookup'!$B$2:$B$233,MATCH(A164,'Region Lookup'!$A$2:$A$233,0)),"Not found")</f>
        <v>Sub-Saharan Africa</v>
      </c>
      <c r="C164" s="10" t="n">
        <v>2015</v>
      </c>
      <c r="D164" s="11" t="n">
        <v>27849.20313</v>
      </c>
      <c r="E164" s="12" t="n">
        <v>54.08599854</v>
      </c>
      <c r="F164" s="12" t="n">
        <v>80.15796123</v>
      </c>
      <c r="G164" s="12" t="n">
        <v>7.89759919</v>
      </c>
      <c r="H164" s="12" t="n">
        <v>4.426643676</v>
      </c>
      <c r="I164" s="12" t="n">
        <v>7.517795899</v>
      </c>
      <c r="J164" s="12" t="n">
        <v>67.20830477</v>
      </c>
      <c r="K164" s="12" t="n">
        <v>11.1534648</v>
      </c>
      <c r="L164" s="12" t="n">
        <v>6.335259242</v>
      </c>
      <c r="M164" s="12" t="n">
        <v>15.30297119</v>
      </c>
      <c r="N164" s="12" t="n">
        <v>91.15101984</v>
      </c>
      <c r="O164" s="12" t="n">
        <v>5.133670929</v>
      </c>
      <c r="P164" s="12" t="n">
        <v>2.806405888</v>
      </c>
      <c r="Q164" s="12" t="n">
        <v>0.9089033445</v>
      </c>
      <c r="R164" s="13" t="n">
        <f aca="false">IF($A164=$A165,$C165-$C164,"")</f>
        <v>5</v>
      </c>
      <c r="S164" s="14" t="n">
        <f aca="false">IF(AND($A164=$A165,ISNUMBER(F164),ISNUMBER(F165)),(F165-F164)/($C165-$C164),"")</f>
        <v>1.126607084</v>
      </c>
      <c r="T164" s="14" t="n">
        <f aca="false">IF(AND($A164=$A165,ISNUMBER(J164),ISNUMBER(J165)),(J165-J164)/($C165-$C164),"")</f>
        <v>0.936889056000001</v>
      </c>
      <c r="U164" s="14" t="n">
        <f aca="false">IF(AND($A164=$A165,ISNUMBER(N164),ISNUMBER(N165)),(N165-N164)/($C165-$C164),"")</f>
        <v>0.995247935999998</v>
      </c>
      <c r="V164" s="13" t="n">
        <f aca="false">IF(ISNUMBER(F164),ROUND(F164,0),"")</f>
        <v>80</v>
      </c>
      <c r="W164" s="13" t="n">
        <f aca="false">IF(ISNUMBER(J164),ROUND(J164,0),"")</f>
        <v>67</v>
      </c>
      <c r="X164" s="13" t="n">
        <f aca="false">IF(ISNUMBER(N164),ROUND(N164,0),"")</f>
        <v>91</v>
      </c>
      <c r="Y164" s="10" t="str">
        <f aca="false">IF(AND($A164=$A165,V164=100,V165=100),"full access","")</f>
        <v/>
      </c>
      <c r="Z164" s="10" t="str">
        <f aca="false">IF(AND($A164=$A165,W164=100,W165=100),"full access","")</f>
        <v/>
      </c>
      <c r="AA164" s="10" t="str">
        <f aca="false">IF(AND($A164=$A165,X164=100,X165=100),"full access","")</f>
        <v/>
      </c>
      <c r="AB164" s="14" t="n">
        <f aca="false">IF(AND(ISNUMBER(T164),ISNUMBER(U164)),T164-U164,"")</f>
        <v>-0.0583588799999972</v>
      </c>
    </row>
    <row r="165" customFormat="false" ht="15" hidden="false" customHeight="false" outlineLevel="0" collapsed="false">
      <c r="A165" s="10" t="s">
        <v>164</v>
      </c>
      <c r="B165" s="10" t="str">
        <f aca="false">IFERROR(INDEX('Region Lookup'!$B$2:$B$233,MATCH(A165,'Region Lookup'!$A$2:$A$233,0)),"Not found")</f>
        <v>Sub-Saharan Africa</v>
      </c>
      <c r="C165" s="10" t="n">
        <v>2020</v>
      </c>
      <c r="D165" s="11" t="n">
        <v>31072.94531</v>
      </c>
      <c r="E165" s="12" t="n">
        <v>57.34899902</v>
      </c>
      <c r="F165" s="12" t="n">
        <v>85.79099665</v>
      </c>
      <c r="G165" s="12" t="n">
        <v>6.586062113</v>
      </c>
      <c r="H165" s="12" t="n">
        <v>2.812216176</v>
      </c>
      <c r="I165" s="12" t="n">
        <v>4.810725058</v>
      </c>
      <c r="J165" s="12" t="n">
        <v>71.89275005</v>
      </c>
      <c r="K165" s="12" t="n">
        <v>11.93454827</v>
      </c>
      <c r="L165" s="12" t="n">
        <v>4.999356483</v>
      </c>
      <c r="M165" s="12" t="n">
        <v>11.17334519</v>
      </c>
      <c r="N165" s="12" t="n">
        <v>96.12725952</v>
      </c>
      <c r="O165" s="12" t="n">
        <v>2.608342455</v>
      </c>
      <c r="P165" s="12" t="n">
        <v>1.185613803</v>
      </c>
      <c r="Q165" s="12" t="n">
        <v>0.07878421819</v>
      </c>
      <c r="R165" s="13" t="str">
        <f aca="false">IF($A165=$A166,$C166-$C165,"")</f>
        <v/>
      </c>
      <c r="S165" s="14" t="str">
        <f aca="false">IF(AND($A165=$A166,ISNUMBER(F165),ISNUMBER(F166)),(F166-F165)/($C166-$C165),"")</f>
        <v/>
      </c>
      <c r="T165" s="14" t="str">
        <f aca="false">IF(AND($A165=$A166,ISNUMBER(J165),ISNUMBER(J166)),(J166-J165)/($C166-$C165),"")</f>
        <v/>
      </c>
      <c r="U165" s="14" t="str">
        <f aca="false">IF(AND($A165=$A166,ISNUMBER(N165),ISNUMBER(N166)),(N166-N165)/($C166-$C165),"")</f>
        <v/>
      </c>
      <c r="V165" s="13" t="n">
        <f aca="false">IF(ISNUMBER(F165),ROUND(F165,0),"")</f>
        <v>86</v>
      </c>
      <c r="W165" s="13" t="n">
        <f aca="false">IF(ISNUMBER(J165),ROUND(J165,0),"")</f>
        <v>72</v>
      </c>
      <c r="X165" s="13" t="n">
        <f aca="false">IF(ISNUMBER(N165),ROUND(N165,0),"")</f>
        <v>96</v>
      </c>
      <c r="Y165" s="10" t="str">
        <f aca="false">IF(AND($A165=$A166,V165=100,V166=100),"full access","")</f>
        <v/>
      </c>
      <c r="Z165" s="10" t="str">
        <f aca="false">IF(AND($A165=$A166,W165=100,W166=100),"full access","")</f>
        <v/>
      </c>
      <c r="AA165" s="10" t="str">
        <f aca="false">IF(AND($A165=$A166,X165=100,X166=100),"full access","")</f>
        <v/>
      </c>
      <c r="AB165" s="14" t="str">
        <f aca="false">IF(AND(ISNUMBER(T165),ISNUMBER(U165)),T165-U165,"")</f>
        <v/>
      </c>
    </row>
    <row r="166" customFormat="false" ht="15" hidden="false" customHeight="false" outlineLevel="0" collapsed="false">
      <c r="A166" s="4" t="s">
        <v>165</v>
      </c>
      <c r="B166" s="4" t="str">
        <f aca="false">IFERROR(INDEX('Region Lookup'!$B$2:$B$233,MATCH(A166,'Region Lookup'!$A$2:$A$233,0)),"Not found")</f>
        <v>Europe &amp; Central Asia</v>
      </c>
      <c r="C166" s="4" t="n">
        <v>2015</v>
      </c>
      <c r="D166" s="6" t="n">
        <v>33.74200058</v>
      </c>
      <c r="E166" s="7" t="n">
        <v>100</v>
      </c>
      <c r="F166" s="7" t="n">
        <v>100</v>
      </c>
      <c r="G166" s="7" t="n">
        <v>0</v>
      </c>
      <c r="H166" s="7" t="n">
        <v>0</v>
      </c>
      <c r="I166" s="7" t="n">
        <v>0</v>
      </c>
      <c r="J166" s="7"/>
      <c r="K166" s="7"/>
      <c r="L166" s="7"/>
      <c r="M166" s="7"/>
      <c r="N166" s="7" t="n">
        <v>100</v>
      </c>
      <c r="O166" s="7" t="n">
        <v>0</v>
      </c>
      <c r="P166" s="7" t="n">
        <v>0</v>
      </c>
      <c r="Q166" s="7" t="n">
        <v>0</v>
      </c>
      <c r="R166" s="8" t="n">
        <f aca="false">IF($A166=$A167,$C167-$C166,"")</f>
        <v>5</v>
      </c>
      <c r="S166" s="9" t="n">
        <f aca="false">IF(AND($A166=$A167,ISNUMBER(F166),ISNUMBER(F167)),(F167-F166)/($C167-$C166),"")</f>
        <v>0</v>
      </c>
      <c r="T166" s="9" t="str">
        <f aca="false">IF(AND($A166=$A167,ISNUMBER(J166),ISNUMBER(J167)),(J167-J166)/($C167-$C166),"")</f>
        <v/>
      </c>
      <c r="U166" s="9" t="n">
        <f aca="false">IF(AND($A166=$A167,ISNUMBER(N166),ISNUMBER(N167)),(N167-N166)/($C167-$C166),"")</f>
        <v>0</v>
      </c>
      <c r="V166" s="8" t="n">
        <f aca="false">IF(ISNUMBER(F166),ROUND(F166,0),"")</f>
        <v>100</v>
      </c>
      <c r="W166" s="8" t="str">
        <f aca="false">IF(ISNUMBER(J166),ROUND(J166,0),"")</f>
        <v/>
      </c>
      <c r="X166" s="8" t="n">
        <f aca="false">IF(ISNUMBER(N166),ROUND(N166,0),"")</f>
        <v>100</v>
      </c>
      <c r="Y166" s="4" t="str">
        <f aca="false">IF(AND($A166=$A167,V166=100,V167=100),"full access","")</f>
        <v>full access</v>
      </c>
      <c r="Z166" s="4" t="str">
        <f aca="false">IF(AND($A166=$A167,W166=100,W167=100),"full access","")</f>
        <v/>
      </c>
      <c r="AA166" s="4" t="str">
        <f aca="false">IF(AND($A166=$A167,X166=100,X167=100),"full access","")</f>
        <v>full access</v>
      </c>
      <c r="AB166" s="9" t="str">
        <f aca="false">IF(AND(ISNUMBER(T166),ISNUMBER(U166)),T166-U166,"")</f>
        <v/>
      </c>
    </row>
    <row r="167" customFormat="false" ht="15" hidden="false" customHeight="false" outlineLevel="0" collapsed="false">
      <c r="A167" s="4" t="s">
        <v>165</v>
      </c>
      <c r="B167" s="4" t="str">
        <f aca="false">IFERROR(INDEX('Region Lookup'!$B$2:$B$233,MATCH(A167,'Region Lookup'!$A$2:$A$233,0)),"Not found")</f>
        <v>Europe &amp; Central Asia</v>
      </c>
      <c r="C167" s="4" t="n">
        <v>2020</v>
      </c>
      <c r="D167" s="6" t="n">
        <v>33.69100189</v>
      </c>
      <c r="E167" s="7" t="n">
        <v>100</v>
      </c>
      <c r="F167" s="7" t="n">
        <v>100</v>
      </c>
      <c r="G167" s="7" t="n">
        <v>0</v>
      </c>
      <c r="H167" s="7" t="n">
        <v>0</v>
      </c>
      <c r="I167" s="7" t="n">
        <v>0</v>
      </c>
      <c r="J167" s="7"/>
      <c r="K167" s="7"/>
      <c r="L167" s="7"/>
      <c r="M167" s="7"/>
      <c r="N167" s="7" t="n">
        <v>100</v>
      </c>
      <c r="O167" s="7" t="n">
        <v>0</v>
      </c>
      <c r="P167" s="7" t="n">
        <v>0</v>
      </c>
      <c r="Q167" s="7" t="n">
        <v>0</v>
      </c>
      <c r="R167" s="8" t="str">
        <f aca="false">IF($A167=$A168,$C168-$C167,"")</f>
        <v/>
      </c>
      <c r="S167" s="9" t="str">
        <f aca="false">IF(AND($A167=$A168,ISNUMBER(F167),ISNUMBER(F168)),(F168-F167)/($C168-$C167),"")</f>
        <v/>
      </c>
      <c r="T167" s="9" t="str">
        <f aca="false">IF(AND($A167=$A168,ISNUMBER(J167),ISNUMBER(J168)),(J168-J167)/($C168-$C167),"")</f>
        <v/>
      </c>
      <c r="U167" s="9" t="str">
        <f aca="false">IF(AND($A167=$A168,ISNUMBER(N167),ISNUMBER(N168)),(N168-N167)/($C168-$C167),"")</f>
        <v/>
      </c>
      <c r="V167" s="8" t="n">
        <f aca="false">IF(ISNUMBER(F167),ROUND(F167,0),"")</f>
        <v>100</v>
      </c>
      <c r="W167" s="8" t="str">
        <f aca="false">IF(ISNUMBER(J167),ROUND(J167,0),"")</f>
        <v/>
      </c>
      <c r="X167" s="8" t="n">
        <f aca="false">IF(ISNUMBER(N167),ROUND(N167,0),"")</f>
        <v>100</v>
      </c>
      <c r="Y167" s="4" t="str">
        <f aca="false">IF(AND($A167=$A168,V167=100,V168=100),"full access","")</f>
        <v/>
      </c>
      <c r="Z167" s="4" t="str">
        <f aca="false">IF(AND($A167=$A168,W167=100,W168=100),"full access","")</f>
        <v/>
      </c>
      <c r="AA167" s="4" t="str">
        <f aca="false">IF(AND($A167=$A168,X167=100,X168=100),"full access","")</f>
        <v/>
      </c>
      <c r="AB167" s="9" t="str">
        <f aca="false">IF(AND(ISNUMBER(T167),ISNUMBER(U167)),T167-U167,"")</f>
        <v/>
      </c>
    </row>
    <row r="168" customFormat="false" ht="15" hidden="false" customHeight="false" outlineLevel="0" collapsed="false">
      <c r="A168" s="10" t="s">
        <v>166</v>
      </c>
      <c r="B168" s="10" t="str">
        <f aca="false">IFERROR(INDEX('Region Lookup'!$B$2:$B$233,MATCH(A168,'Region Lookup'!$A$2:$A$233,0)),"Not found")</f>
        <v>Europe &amp; Central Asia</v>
      </c>
      <c r="C168" s="10" t="n">
        <v>2015</v>
      </c>
      <c r="D168" s="11" t="n">
        <v>10659.7373</v>
      </c>
      <c r="E168" s="12" t="n">
        <v>78.04600525</v>
      </c>
      <c r="F168" s="12" t="n">
        <v>100.0000046</v>
      </c>
      <c r="G168" s="12" t="n">
        <v>0</v>
      </c>
      <c r="H168" s="12" t="n">
        <v>0</v>
      </c>
      <c r="I168" s="12" t="n">
        <v>0</v>
      </c>
      <c r="J168" s="12" t="n">
        <v>100</v>
      </c>
      <c r="K168" s="12" t="n">
        <v>0</v>
      </c>
      <c r="L168" s="12" t="n">
        <v>0</v>
      </c>
      <c r="M168" s="12" t="n">
        <v>0</v>
      </c>
      <c r="N168" s="12" t="n">
        <v>100</v>
      </c>
      <c r="O168" s="12" t="n">
        <v>0</v>
      </c>
      <c r="P168" s="12" t="n">
        <v>0</v>
      </c>
      <c r="Q168" s="12" t="n">
        <v>0</v>
      </c>
      <c r="R168" s="13" t="n">
        <f aca="false">IF($A168=$A169,$C169-$C168,"")</f>
        <v>5</v>
      </c>
      <c r="S168" s="14" t="n">
        <f aca="false">IF(AND($A168=$A169,ISNUMBER(F168),ISNUMBER(F169)),(F169-F168)/($C169-$C168),"")</f>
        <v>-4.59999998270177E-007</v>
      </c>
      <c r="T168" s="14" t="n">
        <f aca="false">IF(AND($A168=$A169,ISNUMBER(J168),ISNUMBER(J169)),(J169-J168)/($C169-$C168),"")</f>
        <v>0</v>
      </c>
      <c r="U168" s="14" t="n">
        <f aca="false">IF(AND($A168=$A169,ISNUMBER(N168),ISNUMBER(N169)),(N169-N168)/($C169-$C168),"")</f>
        <v>0</v>
      </c>
      <c r="V168" s="13" t="n">
        <f aca="false">IF(ISNUMBER(F168),ROUND(F168,0),"")</f>
        <v>100</v>
      </c>
      <c r="W168" s="13" t="n">
        <f aca="false">IF(ISNUMBER(J168),ROUND(J168,0),"")</f>
        <v>100</v>
      </c>
      <c r="X168" s="13" t="n">
        <f aca="false">IF(ISNUMBER(N168),ROUND(N168,0),"")</f>
        <v>100</v>
      </c>
      <c r="Y168" s="10" t="str">
        <f aca="false">IF(AND($A168=$A169,V168=100,V169=100),"full access","")</f>
        <v>full access</v>
      </c>
      <c r="Z168" s="10" t="str">
        <f aca="false">IF(AND($A168=$A169,W168=100,W169=100),"full access","")</f>
        <v>full access</v>
      </c>
      <c r="AA168" s="10" t="str">
        <f aca="false">IF(AND($A168=$A169,X168=100,X169=100),"full access","")</f>
        <v>full access</v>
      </c>
      <c r="AB168" s="14" t="n">
        <f aca="false">IF(AND(ISNUMBER(T168),ISNUMBER(U168)),T168-U168,"")</f>
        <v>0</v>
      </c>
    </row>
    <row r="169" customFormat="false" ht="15" hidden="false" customHeight="false" outlineLevel="0" collapsed="false">
      <c r="A169" s="10" t="s">
        <v>166</v>
      </c>
      <c r="B169" s="10" t="str">
        <f aca="false">IFERROR(INDEX('Region Lookup'!$B$2:$B$233,MATCH(A169,'Region Lookup'!$A$2:$A$233,0)),"Not found")</f>
        <v>Europe &amp; Central Asia</v>
      </c>
      <c r="C169" s="10" t="n">
        <v>2020</v>
      </c>
      <c r="D169" s="11" t="n">
        <v>10423.05566</v>
      </c>
      <c r="E169" s="12" t="n">
        <v>79.71500397</v>
      </c>
      <c r="F169" s="12" t="n">
        <v>100.0000023</v>
      </c>
      <c r="G169" s="12" t="n">
        <v>0</v>
      </c>
      <c r="H169" s="12" t="n">
        <v>0</v>
      </c>
      <c r="I169" s="12" t="n">
        <v>0</v>
      </c>
      <c r="J169" s="12" t="n">
        <v>100</v>
      </c>
      <c r="K169" s="12" t="n">
        <v>0</v>
      </c>
      <c r="L169" s="12" t="n">
        <v>0</v>
      </c>
      <c r="M169" s="12" t="n">
        <v>0</v>
      </c>
      <c r="N169" s="12" t="n">
        <v>100</v>
      </c>
      <c r="O169" s="12" t="n">
        <v>0</v>
      </c>
      <c r="P169" s="12" t="n">
        <v>0</v>
      </c>
      <c r="Q169" s="12" t="n">
        <v>0</v>
      </c>
      <c r="R169" s="13" t="str">
        <f aca="false">IF($A169=$A170,$C170-$C169,"")</f>
        <v/>
      </c>
      <c r="S169" s="14" t="str">
        <f aca="false">IF(AND($A169=$A170,ISNUMBER(F169),ISNUMBER(F170)),(F170-F169)/($C170-$C169),"")</f>
        <v/>
      </c>
      <c r="T169" s="14" t="str">
        <f aca="false">IF(AND($A169=$A170,ISNUMBER(J169),ISNUMBER(J170)),(J170-J169)/($C170-$C169),"")</f>
        <v/>
      </c>
      <c r="U169" s="14" t="str">
        <f aca="false">IF(AND($A169=$A170,ISNUMBER(N169),ISNUMBER(N170)),(N170-N169)/($C170-$C169),"")</f>
        <v/>
      </c>
      <c r="V169" s="13" t="n">
        <f aca="false">IF(ISNUMBER(F169),ROUND(F169,0),"")</f>
        <v>100</v>
      </c>
      <c r="W169" s="13" t="n">
        <f aca="false">IF(ISNUMBER(J169),ROUND(J169,0),"")</f>
        <v>100</v>
      </c>
      <c r="X169" s="13" t="n">
        <f aca="false">IF(ISNUMBER(N169),ROUND(N169,0),"")</f>
        <v>100</v>
      </c>
      <c r="Y169" s="10" t="str">
        <f aca="false">IF(AND($A169=$A170,V169=100,V170=100),"full access","")</f>
        <v/>
      </c>
      <c r="Z169" s="10" t="str">
        <f aca="false">IF(AND($A169=$A170,W169=100,W170=100),"full access","")</f>
        <v/>
      </c>
      <c r="AA169" s="10" t="str">
        <f aca="false">IF(AND($A169=$A170,X169=100,X170=100),"full access","")</f>
        <v/>
      </c>
      <c r="AB169" s="14" t="str">
        <f aca="false">IF(AND(ISNUMBER(T169),ISNUMBER(U169)),T169-U169,"")</f>
        <v/>
      </c>
    </row>
    <row r="170" customFormat="false" ht="15" hidden="false" customHeight="false" outlineLevel="0" collapsed="false">
      <c r="A170" s="4" t="s">
        <v>167</v>
      </c>
      <c r="B170" s="4" t="str">
        <f aca="false">IFERROR(INDEX('Region Lookup'!$B$2:$B$233,MATCH(A170,'Region Lookup'!$A$2:$A$233,0)),"Not found")</f>
        <v>North America</v>
      </c>
      <c r="C170" s="4" t="n">
        <v>2015</v>
      </c>
      <c r="D170" s="6" t="n">
        <v>56.37799835</v>
      </c>
      <c r="E170" s="7" t="n">
        <v>86.07099915</v>
      </c>
      <c r="F170" s="7" t="n">
        <v>100</v>
      </c>
      <c r="G170" s="7" t="n">
        <v>0</v>
      </c>
      <c r="H170" s="7" t="n">
        <v>0</v>
      </c>
      <c r="I170" s="7" t="n">
        <v>0</v>
      </c>
      <c r="J170" s="7" t="n">
        <v>100</v>
      </c>
      <c r="K170" s="7" t="n">
        <v>0</v>
      </c>
      <c r="L170" s="7" t="n">
        <v>0</v>
      </c>
      <c r="M170" s="7" t="n">
        <v>0</v>
      </c>
      <c r="N170" s="7" t="n">
        <v>100</v>
      </c>
      <c r="O170" s="7" t="n">
        <v>0</v>
      </c>
      <c r="P170" s="7" t="n">
        <v>0</v>
      </c>
      <c r="Q170" s="7" t="n">
        <v>0</v>
      </c>
      <c r="R170" s="8" t="n">
        <f aca="false">IF($A170=$A171,$C171-$C170,"")</f>
        <v>5</v>
      </c>
      <c r="S170" s="9" t="n">
        <f aca="false">IF(AND($A170=$A171,ISNUMBER(F170),ISNUMBER(F171)),(F171-F170)/($C171-$C170),"")</f>
        <v>3.39999999710017E-007</v>
      </c>
      <c r="T170" s="9" t="n">
        <f aca="false">IF(AND($A170=$A171,ISNUMBER(J170),ISNUMBER(J171)),(J171-J170)/($C171-$C170),"")</f>
        <v>0</v>
      </c>
      <c r="U170" s="9" t="n">
        <f aca="false">IF(AND($A170=$A171,ISNUMBER(N170),ISNUMBER(N171)),(N171-N170)/($C171-$C170),"")</f>
        <v>0</v>
      </c>
      <c r="V170" s="8" t="n">
        <f aca="false">IF(ISNUMBER(F170),ROUND(F170,0),"")</f>
        <v>100</v>
      </c>
      <c r="W170" s="8" t="n">
        <f aca="false">IF(ISNUMBER(J170),ROUND(J170,0),"")</f>
        <v>100</v>
      </c>
      <c r="X170" s="8" t="n">
        <f aca="false">IF(ISNUMBER(N170),ROUND(N170,0),"")</f>
        <v>100</v>
      </c>
      <c r="Y170" s="4" t="str">
        <f aca="false">IF(AND($A170=$A171,V170=100,V171=100),"full access","")</f>
        <v>full access</v>
      </c>
      <c r="Z170" s="4" t="str">
        <f aca="false">IF(AND($A170=$A171,W170=100,W171=100),"full access","")</f>
        <v>full access</v>
      </c>
      <c r="AA170" s="4" t="str">
        <f aca="false">IF(AND($A170=$A171,X170=100,X171=100),"full access","")</f>
        <v>full access</v>
      </c>
      <c r="AB170" s="9" t="n">
        <f aca="false">IF(AND(ISNUMBER(T170),ISNUMBER(U170)),T170-U170,"")</f>
        <v>0</v>
      </c>
    </row>
    <row r="171" customFormat="false" ht="15" hidden="false" customHeight="false" outlineLevel="0" collapsed="false">
      <c r="A171" s="4" t="s">
        <v>167</v>
      </c>
      <c r="B171" s="4" t="str">
        <f aca="false">IFERROR(INDEX('Region Lookup'!$B$2:$B$233,MATCH(A171,'Region Lookup'!$A$2:$A$233,0)),"Not found")</f>
        <v>North America</v>
      </c>
      <c r="C171" s="4" t="n">
        <v>2020</v>
      </c>
      <c r="D171" s="6" t="n">
        <v>56.77199936</v>
      </c>
      <c r="E171" s="7" t="n">
        <v>87.28200531</v>
      </c>
      <c r="F171" s="7" t="n">
        <v>100.0000017</v>
      </c>
      <c r="G171" s="7" t="n">
        <v>0</v>
      </c>
      <c r="H171" s="7" t="n">
        <v>0</v>
      </c>
      <c r="I171" s="7" t="n">
        <v>0</v>
      </c>
      <c r="J171" s="7" t="n">
        <v>100</v>
      </c>
      <c r="K171" s="7" t="n">
        <v>0</v>
      </c>
      <c r="L171" s="7" t="n">
        <v>0</v>
      </c>
      <c r="M171" s="7" t="n">
        <v>0</v>
      </c>
      <c r="N171" s="7" t="n">
        <v>100</v>
      </c>
      <c r="O171" s="7" t="n">
        <v>0</v>
      </c>
      <c r="P171" s="7" t="n">
        <v>0</v>
      </c>
      <c r="Q171" s="7" t="n">
        <v>0</v>
      </c>
      <c r="R171" s="8" t="str">
        <f aca="false">IF($A171=$A172,$C172-$C171,"")</f>
        <v/>
      </c>
      <c r="S171" s="9" t="str">
        <f aca="false">IF(AND($A171=$A172,ISNUMBER(F171),ISNUMBER(F172)),(F172-F171)/($C172-$C171),"")</f>
        <v/>
      </c>
      <c r="T171" s="9" t="str">
        <f aca="false">IF(AND($A171=$A172,ISNUMBER(J171),ISNUMBER(J172)),(J172-J171)/($C172-$C171),"")</f>
        <v/>
      </c>
      <c r="U171" s="9" t="str">
        <f aca="false">IF(AND($A171=$A172,ISNUMBER(N171),ISNUMBER(N172)),(N172-N171)/($C172-$C171),"")</f>
        <v/>
      </c>
      <c r="V171" s="8" t="n">
        <f aca="false">IF(ISNUMBER(F171),ROUND(F171,0),"")</f>
        <v>100</v>
      </c>
      <c r="W171" s="8" t="n">
        <f aca="false">IF(ISNUMBER(J171),ROUND(J171,0),"")</f>
        <v>100</v>
      </c>
      <c r="X171" s="8" t="n">
        <f aca="false">IF(ISNUMBER(N171),ROUND(N171,0),"")</f>
        <v>100</v>
      </c>
      <c r="Y171" s="4" t="str">
        <f aca="false">IF(AND($A171=$A172,V171=100,V172=100),"full access","")</f>
        <v/>
      </c>
      <c r="Z171" s="4" t="str">
        <f aca="false">IF(AND($A171=$A172,W171=100,W172=100),"full access","")</f>
        <v/>
      </c>
      <c r="AA171" s="4" t="str">
        <f aca="false">IF(AND($A171=$A172,X171=100,X172=100),"full access","")</f>
        <v/>
      </c>
      <c r="AB171" s="9" t="str">
        <f aca="false">IF(AND(ISNUMBER(T171),ISNUMBER(U171)),T171-U171,"")</f>
        <v/>
      </c>
    </row>
    <row r="172" customFormat="false" ht="15" hidden="false" customHeight="false" outlineLevel="0" collapsed="false">
      <c r="A172" s="10" t="s">
        <v>168</v>
      </c>
      <c r="B172" s="10" t="str">
        <f aca="false">IFERROR(INDEX('Region Lookup'!$B$2:$B$233,MATCH(A172,'Region Lookup'!$A$2:$A$233,0)),"Not found")</f>
        <v>Latin America &amp; Caribbean</v>
      </c>
      <c r="C172" s="10" t="n">
        <v>2015</v>
      </c>
      <c r="D172" s="11" t="n">
        <v>109.6029968</v>
      </c>
      <c r="E172" s="12" t="n">
        <v>35.99700165</v>
      </c>
      <c r="F172" s="12" t="n">
        <v>95.62865044</v>
      </c>
      <c r="G172" s="12" t="n">
        <v>1.161481584</v>
      </c>
      <c r="H172" s="12" t="n">
        <v>0</v>
      </c>
      <c r="I172" s="12" t="n">
        <v>3.209867972</v>
      </c>
      <c r="J172" s="12"/>
      <c r="K172" s="12"/>
      <c r="L172" s="12"/>
      <c r="M172" s="12"/>
      <c r="N172" s="12"/>
      <c r="O172" s="12"/>
      <c r="P172" s="12"/>
      <c r="Q172" s="12"/>
      <c r="R172" s="13" t="n">
        <f aca="false">IF($A172=$A173,$C173-$C172,"")</f>
        <v>2</v>
      </c>
      <c r="S172" s="14" t="n">
        <f aca="false">IF(AND($A172=$A173,ISNUMBER(F172),ISNUMBER(F173)),(F173-F172)/($C173-$C172),"")</f>
        <v>0</v>
      </c>
      <c r="T172" s="14" t="str">
        <f aca="false">IF(AND($A172=$A173,ISNUMBER(J172),ISNUMBER(J173)),(J173-J172)/($C173-$C172),"")</f>
        <v/>
      </c>
      <c r="U172" s="14" t="str">
        <f aca="false">IF(AND($A172=$A173,ISNUMBER(N172),ISNUMBER(N173)),(N173-N172)/($C173-$C172),"")</f>
        <v/>
      </c>
      <c r="V172" s="13" t="n">
        <f aca="false">IF(ISNUMBER(F172),ROUND(F172,0),"")</f>
        <v>96</v>
      </c>
      <c r="W172" s="13" t="str">
        <f aca="false">IF(ISNUMBER(J172),ROUND(J172,0),"")</f>
        <v/>
      </c>
      <c r="X172" s="13" t="str">
        <f aca="false">IF(ISNUMBER(N172),ROUND(N172,0),"")</f>
        <v/>
      </c>
      <c r="Y172" s="10" t="str">
        <f aca="false">IF(AND($A172=$A173,V172=100,V173=100),"full access","")</f>
        <v/>
      </c>
      <c r="Z172" s="10" t="str">
        <f aca="false">IF(AND($A172=$A173,W172=100,W173=100),"full access","")</f>
        <v/>
      </c>
      <c r="AA172" s="10" t="str">
        <f aca="false">IF(AND($A172=$A173,X172=100,X173=100),"full access","")</f>
        <v/>
      </c>
      <c r="AB172" s="14" t="str">
        <f aca="false">IF(AND(ISNUMBER(T172),ISNUMBER(U172)),T172-U172,"")</f>
        <v/>
      </c>
    </row>
    <row r="173" customFormat="false" ht="15" hidden="false" customHeight="false" outlineLevel="0" collapsed="false">
      <c r="A173" s="10" t="s">
        <v>168</v>
      </c>
      <c r="B173" s="10" t="str">
        <f aca="false">IFERROR(INDEX('Region Lookup'!$B$2:$B$233,MATCH(A173,'Region Lookup'!$A$2:$A$233,0)),"Not found")</f>
        <v>Latin America &amp; Caribbean</v>
      </c>
      <c r="C173" s="10" t="n">
        <v>2017</v>
      </c>
      <c r="D173" s="11" t="n">
        <v>110.8740005</v>
      </c>
      <c r="E173" s="12" t="n">
        <v>36.16400146</v>
      </c>
      <c r="F173" s="12" t="n">
        <v>95.62865044</v>
      </c>
      <c r="G173" s="12" t="n">
        <v>1.161481584</v>
      </c>
      <c r="H173" s="12" t="n">
        <v>0</v>
      </c>
      <c r="I173" s="12" t="n">
        <v>3.209867972</v>
      </c>
      <c r="J173" s="12"/>
      <c r="K173" s="12"/>
      <c r="L173" s="12"/>
      <c r="M173" s="12"/>
      <c r="N173" s="12"/>
      <c r="O173" s="12"/>
      <c r="P173" s="12"/>
      <c r="Q173" s="12"/>
      <c r="R173" s="13" t="str">
        <f aca="false">IF($A173=$A174,$C174-$C173,"")</f>
        <v/>
      </c>
      <c r="S173" s="14" t="str">
        <f aca="false">IF(AND($A173=$A174,ISNUMBER(F173),ISNUMBER(F174)),(F174-F173)/($C174-$C173),"")</f>
        <v/>
      </c>
      <c r="T173" s="14" t="str">
        <f aca="false">IF(AND($A173=$A174,ISNUMBER(J173),ISNUMBER(J174)),(J174-J173)/($C174-$C173),"")</f>
        <v/>
      </c>
      <c r="U173" s="14" t="str">
        <f aca="false">IF(AND($A173=$A174,ISNUMBER(N173),ISNUMBER(N174)),(N174-N173)/($C174-$C173),"")</f>
        <v/>
      </c>
      <c r="V173" s="13" t="n">
        <f aca="false">IF(ISNUMBER(F173),ROUND(F173,0),"")</f>
        <v>96</v>
      </c>
      <c r="W173" s="13" t="str">
        <f aca="false">IF(ISNUMBER(J173),ROUND(J173,0),"")</f>
        <v/>
      </c>
      <c r="X173" s="13" t="str">
        <f aca="false">IF(ISNUMBER(N173),ROUND(N173,0),"")</f>
        <v/>
      </c>
      <c r="Y173" s="10" t="str">
        <f aca="false">IF(AND($A173=$A174,V173=100,V174=100),"full access","")</f>
        <v/>
      </c>
      <c r="Z173" s="10" t="str">
        <f aca="false">IF(AND($A173=$A174,W173=100,W174=100),"full access","")</f>
        <v/>
      </c>
      <c r="AA173" s="10" t="str">
        <f aca="false">IF(AND($A173=$A174,X173=100,X174=100),"full access","")</f>
        <v/>
      </c>
      <c r="AB173" s="14" t="str">
        <f aca="false">IF(AND(ISNUMBER(T173),ISNUMBER(U173)),T173-U173,"")</f>
        <v/>
      </c>
    </row>
    <row r="174" customFormat="false" ht="15" hidden="false" customHeight="false" outlineLevel="0" collapsed="false">
      <c r="A174" s="4" t="s">
        <v>169</v>
      </c>
      <c r="B174" s="4" t="str">
        <f aca="false">IFERROR(INDEX('Region Lookup'!$B$2:$B$233,MATCH(A174,'Region Lookup'!$A$2:$A$233,0)),"Not found")</f>
        <v>Latin America &amp; Caribbean</v>
      </c>
      <c r="C174" s="4" t="n">
        <v>2015</v>
      </c>
      <c r="D174" s="6" t="n">
        <v>400.2600098</v>
      </c>
      <c r="E174" s="7" t="n">
        <v>98.44300079</v>
      </c>
      <c r="F174" s="7" t="n">
        <v>99.61102813</v>
      </c>
      <c r="G174" s="7" t="n">
        <v>0</v>
      </c>
      <c r="H174" s="7" t="n">
        <v>0.3889718724</v>
      </c>
      <c r="I174" s="7" t="n">
        <v>0</v>
      </c>
      <c r="J174" s="7"/>
      <c r="K174" s="7"/>
      <c r="L174" s="7"/>
      <c r="M174" s="7"/>
      <c r="N174" s="7"/>
      <c r="O174" s="7"/>
      <c r="P174" s="7"/>
      <c r="Q174" s="7"/>
      <c r="R174" s="8" t="n">
        <f aca="false">IF($A174=$A175,$C175-$C174,"")</f>
        <v>5</v>
      </c>
      <c r="S174" s="9" t="n">
        <f aca="false">IF(AND($A174=$A175,ISNUMBER(F174),ISNUMBER(F175)),(F175-F174)/($C175-$C174),"")</f>
        <v>0.0384195820000002</v>
      </c>
      <c r="T174" s="9" t="str">
        <f aca="false">IF(AND($A174=$A175,ISNUMBER(J174),ISNUMBER(J175)),(J175-J174)/($C175-$C174),"")</f>
        <v/>
      </c>
      <c r="U174" s="9" t="str">
        <f aca="false">IF(AND($A174=$A175,ISNUMBER(N174),ISNUMBER(N175)),(N175-N174)/($C175-$C174),"")</f>
        <v/>
      </c>
      <c r="V174" s="8" t="n">
        <f aca="false">IF(ISNUMBER(F174),ROUND(F174,0),"")</f>
        <v>100</v>
      </c>
      <c r="W174" s="8" t="str">
        <f aca="false">IF(ISNUMBER(J174),ROUND(J174,0),"")</f>
        <v/>
      </c>
      <c r="X174" s="8" t="str">
        <f aca="false">IF(ISNUMBER(N174),ROUND(N174,0),"")</f>
        <v/>
      </c>
      <c r="Y174" s="4" t="str">
        <f aca="false">IF(AND($A174=$A175,V174=100,V175=100),"full access","")</f>
        <v>full access</v>
      </c>
      <c r="Z174" s="4" t="str">
        <f aca="false">IF(AND($A174=$A175,W174=100,W175=100),"full access","")</f>
        <v/>
      </c>
      <c r="AA174" s="4" t="str">
        <f aca="false">IF(AND($A174=$A175,X174=100,X175=100),"full access","")</f>
        <v/>
      </c>
      <c r="AB174" s="9" t="str">
        <f aca="false">IF(AND(ISNUMBER(T174),ISNUMBER(U174)),T174-U174,"")</f>
        <v/>
      </c>
    </row>
    <row r="175" customFormat="false" ht="15" hidden="false" customHeight="false" outlineLevel="0" collapsed="false">
      <c r="A175" s="4" t="s">
        <v>169</v>
      </c>
      <c r="B175" s="4" t="str">
        <f aca="false">IFERROR(INDEX('Region Lookup'!$B$2:$B$233,MATCH(A175,'Region Lookup'!$A$2:$A$233,0)),"Not found")</f>
        <v>Latin America &amp; Caribbean</v>
      </c>
      <c r="C175" s="4" t="n">
        <v>2020</v>
      </c>
      <c r="D175" s="6" t="n">
        <v>400.1270142</v>
      </c>
      <c r="E175" s="7" t="n">
        <v>98.49899292</v>
      </c>
      <c r="F175" s="7" t="n">
        <v>99.80312604</v>
      </c>
      <c r="G175" s="7" t="n">
        <v>0</v>
      </c>
      <c r="H175" s="7" t="n">
        <v>0.1968739613</v>
      </c>
      <c r="I175" s="7" t="n">
        <v>0</v>
      </c>
      <c r="J175" s="7"/>
      <c r="K175" s="7"/>
      <c r="L175" s="7"/>
      <c r="M175" s="7"/>
      <c r="N175" s="7"/>
      <c r="O175" s="7"/>
      <c r="P175" s="7"/>
      <c r="Q175" s="7"/>
      <c r="R175" s="8" t="str">
        <f aca="false">IF($A175=$A176,$C176-$C175,"")</f>
        <v/>
      </c>
      <c r="S175" s="9" t="str">
        <f aca="false">IF(AND($A175=$A176,ISNUMBER(F175),ISNUMBER(F176)),(F176-F175)/($C176-$C175),"")</f>
        <v/>
      </c>
      <c r="T175" s="9" t="str">
        <f aca="false">IF(AND($A175=$A176,ISNUMBER(J175),ISNUMBER(J176)),(J176-J175)/($C176-$C175),"")</f>
        <v/>
      </c>
      <c r="U175" s="9" t="str">
        <f aca="false">IF(AND($A175=$A176,ISNUMBER(N175),ISNUMBER(N176)),(N176-N175)/($C176-$C175),"")</f>
        <v/>
      </c>
      <c r="V175" s="8" t="n">
        <f aca="false">IF(ISNUMBER(F175),ROUND(F175,0),"")</f>
        <v>100</v>
      </c>
      <c r="W175" s="8" t="str">
        <f aca="false">IF(ISNUMBER(J175),ROUND(J175,0),"")</f>
        <v/>
      </c>
      <c r="X175" s="8" t="str">
        <f aca="false">IF(ISNUMBER(N175),ROUND(N175,0),"")</f>
        <v/>
      </c>
      <c r="Y175" s="4" t="str">
        <f aca="false">IF(AND($A175=$A176,V175=100,V176=100),"full access","")</f>
        <v/>
      </c>
      <c r="Z175" s="4" t="str">
        <f aca="false">IF(AND($A175=$A176,W175=100,W176=100),"full access","")</f>
        <v/>
      </c>
      <c r="AA175" s="4" t="str">
        <f aca="false">IF(AND($A175=$A176,X175=100,X176=100),"full access","")</f>
        <v/>
      </c>
      <c r="AB175" s="9" t="str">
        <f aca="false">IF(AND(ISNUMBER(T175),ISNUMBER(U175)),T175-U175,"")</f>
        <v/>
      </c>
    </row>
    <row r="176" customFormat="false" ht="15" hidden="false" customHeight="false" outlineLevel="0" collapsed="false">
      <c r="A176" s="10" t="s">
        <v>170</v>
      </c>
      <c r="B176" s="10" t="str">
        <f aca="false">IFERROR(INDEX('Region Lookup'!$B$2:$B$233,MATCH(A176,'Region Lookup'!$A$2:$A$233,0)),"Not found")</f>
        <v>East Asia &amp; Pacific</v>
      </c>
      <c r="C176" s="10" t="n">
        <v>2015</v>
      </c>
      <c r="D176" s="11" t="n">
        <v>161.8509979</v>
      </c>
      <c r="E176" s="12" t="n">
        <v>94.53399658</v>
      </c>
      <c r="F176" s="12" t="n">
        <v>99.6952</v>
      </c>
      <c r="G176" s="12" t="n">
        <v>0</v>
      </c>
      <c r="H176" s="12" t="n">
        <v>0.3048</v>
      </c>
      <c r="I176" s="12" t="n">
        <v>0</v>
      </c>
      <c r="J176" s="12"/>
      <c r="K176" s="12"/>
      <c r="L176" s="12"/>
      <c r="M176" s="12"/>
      <c r="N176" s="12"/>
      <c r="O176" s="12"/>
      <c r="P176" s="12"/>
      <c r="Q176" s="12"/>
      <c r="R176" s="13" t="n">
        <f aca="false">IF($A176=$A177,$C177-$C176,"")</f>
        <v>5</v>
      </c>
      <c r="S176" s="14" t="n">
        <f aca="false">IF(AND($A176=$A177,ISNUMBER(F176),ISNUMBER(F177)),(F177-F176)/($C177-$C176),"")</f>
        <v>0</v>
      </c>
      <c r="T176" s="14" t="str">
        <f aca="false">IF(AND($A176=$A177,ISNUMBER(J176),ISNUMBER(J177)),(J177-J176)/($C177-$C176),"")</f>
        <v/>
      </c>
      <c r="U176" s="14" t="str">
        <f aca="false">IF(AND($A176=$A177,ISNUMBER(N176),ISNUMBER(N177)),(N177-N176)/($C177-$C176),"")</f>
        <v/>
      </c>
      <c r="V176" s="13" t="n">
        <f aca="false">IF(ISNUMBER(F176),ROUND(F176,0),"")</f>
        <v>100</v>
      </c>
      <c r="W176" s="13" t="str">
        <f aca="false">IF(ISNUMBER(J176),ROUND(J176,0),"")</f>
        <v/>
      </c>
      <c r="X176" s="13" t="str">
        <f aca="false">IF(ISNUMBER(N176),ROUND(N176,0),"")</f>
        <v/>
      </c>
      <c r="Y176" s="10" t="str">
        <f aca="false">IF(AND($A176=$A177,V176=100,V177=100),"full access","")</f>
        <v>full access</v>
      </c>
      <c r="Z176" s="10" t="str">
        <f aca="false">IF(AND($A176=$A177,W176=100,W177=100),"full access","")</f>
        <v/>
      </c>
      <c r="AA176" s="10" t="str">
        <f aca="false">IF(AND($A176=$A177,X176=100,X177=100),"full access","")</f>
        <v/>
      </c>
      <c r="AB176" s="14" t="str">
        <f aca="false">IF(AND(ISNUMBER(T176),ISNUMBER(U176)),T176-U176,"")</f>
        <v/>
      </c>
    </row>
    <row r="177" customFormat="false" ht="15" hidden="false" customHeight="false" outlineLevel="0" collapsed="false">
      <c r="A177" s="10" t="s">
        <v>170</v>
      </c>
      <c r="B177" s="10" t="str">
        <f aca="false">IFERROR(INDEX('Region Lookup'!$B$2:$B$233,MATCH(A177,'Region Lookup'!$A$2:$A$233,0)),"Not found")</f>
        <v>East Asia &amp; Pacific</v>
      </c>
      <c r="C177" s="10" t="n">
        <v>2020</v>
      </c>
      <c r="D177" s="11" t="n">
        <v>168.7830048</v>
      </c>
      <c r="E177" s="12" t="n">
        <v>94.93800354</v>
      </c>
      <c r="F177" s="12" t="n">
        <v>99.6952</v>
      </c>
      <c r="G177" s="12" t="n">
        <v>0</v>
      </c>
      <c r="H177" s="12" t="n">
        <v>0.3048</v>
      </c>
      <c r="I177" s="12" t="n">
        <v>0</v>
      </c>
      <c r="J177" s="12"/>
      <c r="K177" s="12"/>
      <c r="L177" s="12"/>
      <c r="M177" s="12"/>
      <c r="N177" s="12"/>
      <c r="O177" s="12"/>
      <c r="P177" s="12"/>
      <c r="Q177" s="12"/>
      <c r="R177" s="13" t="str">
        <f aca="false">IF($A177=$A178,$C178-$C177,"")</f>
        <v/>
      </c>
      <c r="S177" s="14" t="str">
        <f aca="false">IF(AND($A177=$A178,ISNUMBER(F177),ISNUMBER(F178)),(F178-F177)/($C178-$C177),"")</f>
        <v/>
      </c>
      <c r="T177" s="14" t="str">
        <f aca="false">IF(AND($A177=$A178,ISNUMBER(J177),ISNUMBER(J178)),(J178-J177)/($C178-$C177),"")</f>
        <v/>
      </c>
      <c r="U177" s="14" t="str">
        <f aca="false">IF(AND($A177=$A178,ISNUMBER(N177),ISNUMBER(N178)),(N178-N177)/($C178-$C177),"")</f>
        <v/>
      </c>
      <c r="V177" s="13" t="n">
        <f aca="false">IF(ISNUMBER(F177),ROUND(F177,0),"")</f>
        <v>100</v>
      </c>
      <c r="W177" s="13" t="str">
        <f aca="false">IF(ISNUMBER(J177),ROUND(J177,0),"")</f>
        <v/>
      </c>
      <c r="X177" s="13" t="str">
        <f aca="false">IF(ISNUMBER(N177),ROUND(N177,0),"")</f>
        <v/>
      </c>
      <c r="Y177" s="10" t="str">
        <f aca="false">IF(AND($A177=$A178,V177=100,V178=100),"full access","")</f>
        <v/>
      </c>
      <c r="Z177" s="10" t="str">
        <f aca="false">IF(AND($A177=$A178,W177=100,W178=100),"full access","")</f>
        <v/>
      </c>
      <c r="AA177" s="10" t="str">
        <f aca="false">IF(AND($A177=$A178,X177=100,X178=100),"full access","")</f>
        <v/>
      </c>
      <c r="AB177" s="14" t="str">
        <f aca="false">IF(AND(ISNUMBER(T177),ISNUMBER(U177)),T177-U177,"")</f>
        <v/>
      </c>
    </row>
    <row r="178" customFormat="false" ht="15" hidden="false" customHeight="false" outlineLevel="0" collapsed="false">
      <c r="A178" s="4" t="s">
        <v>171</v>
      </c>
      <c r="B178" s="4" t="str">
        <f aca="false">IFERROR(INDEX('Region Lookup'!$B$2:$B$233,MATCH(A178,'Region Lookup'!$A$2:$A$233,0)),"Not found")</f>
        <v>Latin America &amp; Caribbean</v>
      </c>
      <c r="C178" s="4" t="n">
        <v>2015</v>
      </c>
      <c r="D178" s="6" t="n">
        <v>16252.4248</v>
      </c>
      <c r="E178" s="7" t="n">
        <v>49.97100067</v>
      </c>
      <c r="F178" s="7" t="n">
        <v>92.13403385</v>
      </c>
      <c r="G178" s="7" t="n">
        <v>0.9684517485</v>
      </c>
      <c r="H178" s="7" t="n">
        <v>4.765261087</v>
      </c>
      <c r="I178" s="7" t="n">
        <v>2.132253313</v>
      </c>
      <c r="J178" s="7" t="n">
        <v>87.24275618</v>
      </c>
      <c r="K178" s="7" t="n">
        <v>1.650901287</v>
      </c>
      <c r="L178" s="7" t="n">
        <v>7.052091828</v>
      </c>
      <c r="M178" s="7" t="n">
        <v>4.054250709</v>
      </c>
      <c r="N178" s="7" t="n">
        <v>97.03098891</v>
      </c>
      <c r="O178" s="7" t="n">
        <v>0.2852100796</v>
      </c>
      <c r="P178" s="7" t="n">
        <v>2.475775984</v>
      </c>
      <c r="Q178" s="7" t="n">
        <v>0.2080250227</v>
      </c>
      <c r="R178" s="8" t="n">
        <f aca="false">IF($A178=$A179,$C179-$C178,"")</f>
        <v>5</v>
      </c>
      <c r="S178" s="9" t="n">
        <f aca="false">IF(AND($A178=$A179,ISNUMBER(F178),ISNUMBER(F179)),(F179-F178)/($C179-$C178),"")</f>
        <v>0.374478884000001</v>
      </c>
      <c r="T178" s="9" t="n">
        <f aca="false">IF(AND($A178=$A179,ISNUMBER(J178),ISNUMBER(J179)),(J179-J178)/($C179-$C178),"")</f>
        <v>0.575314724</v>
      </c>
      <c r="U178" s="9" t="n">
        <f aca="false">IF(AND($A178=$A179,ISNUMBER(N178),ISNUMBER(N179)),(N179-N178)/($C179-$C178),"")</f>
        <v>0.117436106</v>
      </c>
      <c r="V178" s="8" t="n">
        <f aca="false">IF(ISNUMBER(F178),ROUND(F178,0),"")</f>
        <v>92</v>
      </c>
      <c r="W178" s="8" t="n">
        <f aca="false">IF(ISNUMBER(J178),ROUND(J178,0),"")</f>
        <v>87</v>
      </c>
      <c r="X178" s="8" t="n">
        <f aca="false">IF(ISNUMBER(N178),ROUND(N178,0),"")</f>
        <v>97</v>
      </c>
      <c r="Y178" s="4" t="str">
        <f aca="false">IF(AND($A178=$A179,V178=100,V179=100),"full access","")</f>
        <v/>
      </c>
      <c r="Z178" s="4" t="str">
        <f aca="false">IF(AND($A178=$A179,W178=100,W179=100),"full access","")</f>
        <v/>
      </c>
      <c r="AA178" s="4" t="str">
        <f aca="false">IF(AND($A178=$A179,X178=100,X179=100),"full access","")</f>
        <v/>
      </c>
      <c r="AB178" s="9" t="n">
        <f aca="false">IF(AND(ISNUMBER(T178),ISNUMBER(U178)),T178-U178,"")</f>
        <v>0.457878618000001</v>
      </c>
    </row>
    <row r="179" customFormat="false" ht="15" hidden="false" customHeight="false" outlineLevel="0" collapsed="false">
      <c r="A179" s="4" t="s">
        <v>171</v>
      </c>
      <c r="B179" s="4" t="str">
        <f aca="false">IFERROR(INDEX('Region Lookup'!$B$2:$B$233,MATCH(A179,'Region Lookup'!$A$2:$A$233,0)),"Not found")</f>
        <v>Latin America &amp; Caribbean</v>
      </c>
      <c r="C179" s="4" t="n">
        <v>2020</v>
      </c>
      <c r="D179" s="6" t="n">
        <v>17915.56641</v>
      </c>
      <c r="E179" s="7" t="n">
        <v>51.83599854</v>
      </c>
      <c r="F179" s="7" t="n">
        <v>94.00642827</v>
      </c>
      <c r="G179" s="7" t="n">
        <v>1.034150511</v>
      </c>
      <c r="H179" s="7" t="n">
        <v>3.215911815</v>
      </c>
      <c r="I179" s="7" t="n">
        <v>1.743509404</v>
      </c>
      <c r="J179" s="7" t="n">
        <v>90.1193298</v>
      </c>
      <c r="K179" s="7" t="n">
        <v>1.849169999</v>
      </c>
      <c r="L179" s="7" t="n">
        <v>4.583438691</v>
      </c>
      <c r="M179" s="7" t="n">
        <v>3.448061508</v>
      </c>
      <c r="N179" s="7" t="n">
        <v>97.61816944</v>
      </c>
      <c r="O179" s="7" t="n">
        <v>0.2768660057</v>
      </c>
      <c r="P179" s="7" t="n">
        <v>1.94525887</v>
      </c>
      <c r="Q179" s="7" t="n">
        <v>0.1597056849</v>
      </c>
      <c r="R179" s="8" t="str">
        <f aca="false">IF($A179=$A180,$C180-$C179,"")</f>
        <v/>
      </c>
      <c r="S179" s="9" t="str">
        <f aca="false">IF(AND($A179=$A180,ISNUMBER(F179),ISNUMBER(F180)),(F180-F179)/($C180-$C179),"")</f>
        <v/>
      </c>
      <c r="T179" s="9" t="str">
        <f aca="false">IF(AND($A179=$A180,ISNUMBER(J179),ISNUMBER(J180)),(J180-J179)/($C180-$C179),"")</f>
        <v/>
      </c>
      <c r="U179" s="9" t="str">
        <f aca="false">IF(AND($A179=$A180,ISNUMBER(N179),ISNUMBER(N180)),(N180-N179)/($C180-$C179),"")</f>
        <v/>
      </c>
      <c r="V179" s="8" t="n">
        <f aca="false">IF(ISNUMBER(F179),ROUND(F179,0),"")</f>
        <v>94</v>
      </c>
      <c r="W179" s="8" t="n">
        <f aca="false">IF(ISNUMBER(J179),ROUND(J179,0),"")</f>
        <v>90</v>
      </c>
      <c r="X179" s="8" t="n">
        <f aca="false">IF(ISNUMBER(N179),ROUND(N179,0),"")</f>
        <v>98</v>
      </c>
      <c r="Y179" s="4" t="str">
        <f aca="false">IF(AND($A179=$A180,V179=100,V180=100),"full access","")</f>
        <v/>
      </c>
      <c r="Z179" s="4" t="str">
        <f aca="false">IF(AND($A179=$A180,W179=100,W180=100),"full access","")</f>
        <v/>
      </c>
      <c r="AA179" s="4" t="str">
        <f aca="false">IF(AND($A179=$A180,X179=100,X180=100),"full access","")</f>
        <v/>
      </c>
      <c r="AB179" s="9" t="str">
        <f aca="false">IF(AND(ISNUMBER(T179),ISNUMBER(U179)),T179-U179,"")</f>
        <v/>
      </c>
    </row>
    <row r="180" customFormat="false" ht="15" hidden="false" customHeight="false" outlineLevel="0" collapsed="false">
      <c r="A180" s="10" t="s">
        <v>172</v>
      </c>
      <c r="B180" s="10" t="str">
        <f aca="false">IFERROR(INDEX('Region Lookup'!$B$2:$B$233,MATCH(A180,'Region Lookup'!$A$2:$A$233,0)),"Not found")</f>
        <v>Sub-Saharan Africa</v>
      </c>
      <c r="C180" s="10" t="n">
        <v>2015</v>
      </c>
      <c r="D180" s="11" t="n">
        <v>11432.0957</v>
      </c>
      <c r="E180" s="12" t="n">
        <v>35.14099884</v>
      </c>
      <c r="F180" s="12" t="n">
        <v>63.61538954</v>
      </c>
      <c r="G180" s="12" t="n">
        <v>16.09025603</v>
      </c>
      <c r="H180" s="12" t="n">
        <v>9.757980444</v>
      </c>
      <c r="I180" s="12" t="n">
        <v>10.53637399</v>
      </c>
      <c r="J180" s="12" t="n">
        <v>51.94915534</v>
      </c>
      <c r="K180" s="12" t="n">
        <v>18.76062978</v>
      </c>
      <c r="L180" s="12" t="n">
        <v>13.30971721</v>
      </c>
      <c r="M180" s="12" t="n">
        <v>15.98049768</v>
      </c>
      <c r="N180" s="12" t="n">
        <v>85.14750769</v>
      </c>
      <c r="O180" s="12" t="n">
        <v>11.16160263</v>
      </c>
      <c r="P180" s="12" t="n">
        <v>3.202620418</v>
      </c>
      <c r="Q180" s="12" t="n">
        <v>0.4882692651</v>
      </c>
      <c r="R180" s="13" t="n">
        <f aca="false">IF($A180=$A181,$C181-$C180,"")</f>
        <v>5</v>
      </c>
      <c r="S180" s="14" t="n">
        <f aca="false">IF(AND($A180=$A181,ISNUMBER(F180),ISNUMBER(F181)),(F181-F180)/($C181-$C180),"")</f>
        <v>0.0692798400000001</v>
      </c>
      <c r="T180" s="14" t="n">
        <f aca="false">IF(AND($A180=$A181,ISNUMBER(J180),ISNUMBER(J181)),(J181-J180)/($C181-$C180),"")</f>
        <v>-0.24019527</v>
      </c>
      <c r="U180" s="14" t="n">
        <f aca="false">IF(AND($A180=$A181,ISNUMBER(N180),ISNUMBER(N181)),(N181-N180)/($C181-$C180),"")</f>
        <v>0.286836475999999</v>
      </c>
      <c r="V180" s="13" t="n">
        <f aca="false">IF(ISNUMBER(F180),ROUND(F180,0),"")</f>
        <v>64</v>
      </c>
      <c r="W180" s="13" t="n">
        <f aca="false">IF(ISNUMBER(J180),ROUND(J180,0),"")</f>
        <v>52</v>
      </c>
      <c r="X180" s="13" t="n">
        <f aca="false">IF(ISNUMBER(N180),ROUND(N180,0),"")</f>
        <v>85</v>
      </c>
      <c r="Y180" s="10" t="str">
        <f aca="false">IF(AND($A180=$A181,V180=100,V181=100),"full access","")</f>
        <v/>
      </c>
      <c r="Z180" s="10" t="str">
        <f aca="false">IF(AND($A180=$A181,W180=100,W181=100),"full access","")</f>
        <v/>
      </c>
      <c r="AA180" s="10" t="str">
        <f aca="false">IF(AND($A180=$A181,X180=100,X181=100),"full access","")</f>
        <v/>
      </c>
      <c r="AB180" s="14" t="n">
        <f aca="false">IF(AND(ISNUMBER(T180),ISNUMBER(U180)),T180-U180,"")</f>
        <v>-0.527031745999999</v>
      </c>
    </row>
    <row r="181" customFormat="false" ht="15" hidden="false" customHeight="false" outlineLevel="0" collapsed="false">
      <c r="A181" s="10" t="s">
        <v>172</v>
      </c>
      <c r="B181" s="10" t="str">
        <f aca="false">IFERROR(INDEX('Region Lookup'!$B$2:$B$233,MATCH(A181,'Region Lookup'!$A$2:$A$233,0)),"Not found")</f>
        <v>Sub-Saharan Africa</v>
      </c>
      <c r="C181" s="10" t="n">
        <v>2020</v>
      </c>
      <c r="D181" s="11" t="n">
        <v>13132.79199</v>
      </c>
      <c r="E181" s="12" t="n">
        <v>36.875</v>
      </c>
      <c r="F181" s="12" t="n">
        <v>63.96178874</v>
      </c>
      <c r="G181" s="12" t="n">
        <v>21.2815915</v>
      </c>
      <c r="H181" s="12" t="n">
        <v>6.296119406</v>
      </c>
      <c r="I181" s="12" t="n">
        <v>8.460500354</v>
      </c>
      <c r="J181" s="12" t="n">
        <v>50.74817899</v>
      </c>
      <c r="K181" s="12" t="n">
        <v>26.14432944</v>
      </c>
      <c r="L181" s="12" t="n">
        <v>9.704719143</v>
      </c>
      <c r="M181" s="12" t="n">
        <v>13.40277243</v>
      </c>
      <c r="N181" s="12" t="n">
        <v>86.58169007</v>
      </c>
      <c r="O181" s="12" t="n">
        <v>12.95724153</v>
      </c>
      <c r="P181" s="12" t="n">
        <v>0.461068398</v>
      </c>
      <c r="Q181" s="12" t="n">
        <v>0</v>
      </c>
      <c r="R181" s="13" t="str">
        <f aca="false">IF($A181=$A182,$C182-$C181,"")</f>
        <v/>
      </c>
      <c r="S181" s="14" t="str">
        <f aca="false">IF(AND($A181=$A182,ISNUMBER(F181),ISNUMBER(F182)),(F182-F181)/($C182-$C181),"")</f>
        <v/>
      </c>
      <c r="T181" s="14" t="str">
        <f aca="false">IF(AND($A181=$A182,ISNUMBER(J181),ISNUMBER(J182)),(J182-J181)/($C182-$C181),"")</f>
        <v/>
      </c>
      <c r="U181" s="14" t="str">
        <f aca="false">IF(AND($A181=$A182,ISNUMBER(N181),ISNUMBER(N182)),(N182-N181)/($C182-$C181),"")</f>
        <v/>
      </c>
      <c r="V181" s="13" t="n">
        <f aca="false">IF(ISNUMBER(F181),ROUND(F181,0),"")</f>
        <v>64</v>
      </c>
      <c r="W181" s="13" t="n">
        <f aca="false">IF(ISNUMBER(J181),ROUND(J181,0),"")</f>
        <v>51</v>
      </c>
      <c r="X181" s="13" t="n">
        <f aca="false">IF(ISNUMBER(N181),ROUND(N181,0),"")</f>
        <v>87</v>
      </c>
      <c r="Y181" s="10" t="str">
        <f aca="false">IF(AND($A181=$A182,V181=100,V182=100),"full access","")</f>
        <v/>
      </c>
      <c r="Z181" s="10" t="str">
        <f aca="false">IF(AND($A181=$A182,W181=100,W182=100),"full access","")</f>
        <v/>
      </c>
      <c r="AA181" s="10" t="str">
        <f aca="false">IF(AND($A181=$A182,X181=100,X182=100),"full access","")</f>
        <v/>
      </c>
      <c r="AB181" s="14" t="str">
        <f aca="false">IF(AND(ISNUMBER(T181),ISNUMBER(U181)),T181-U181,"")</f>
        <v/>
      </c>
    </row>
    <row r="182" customFormat="false" ht="15" hidden="false" customHeight="false" outlineLevel="0" collapsed="false">
      <c r="A182" s="4" t="s">
        <v>173</v>
      </c>
      <c r="B182" s="4" t="str">
        <f aca="false">IFERROR(INDEX('Region Lookup'!$B$2:$B$233,MATCH(A182,'Region Lookup'!$A$2:$A$233,0)),"Not found")</f>
        <v>Sub-Saharan Africa</v>
      </c>
      <c r="C182" s="4" t="n">
        <v>2015</v>
      </c>
      <c r="D182" s="6" t="n">
        <v>1737.207031</v>
      </c>
      <c r="E182" s="7" t="n">
        <v>42.12299728</v>
      </c>
      <c r="F182" s="7" t="n">
        <v>58.76434762</v>
      </c>
      <c r="G182" s="7" t="n">
        <v>10.59149221</v>
      </c>
      <c r="H182" s="7" t="n">
        <v>29.74437907</v>
      </c>
      <c r="I182" s="7" t="n">
        <v>0.8997810926</v>
      </c>
      <c r="J182" s="7" t="n">
        <v>48.42273005</v>
      </c>
      <c r="K182" s="7" t="n">
        <v>7.566280361</v>
      </c>
      <c r="L182" s="7" t="n">
        <v>42.58264827</v>
      </c>
      <c r="M182" s="7" t="n">
        <v>1.428341318</v>
      </c>
      <c r="N182" s="7" t="n">
        <v>72.97373122</v>
      </c>
      <c r="O182" s="7" t="n">
        <v>14.7481336</v>
      </c>
      <c r="P182" s="7" t="n">
        <v>12.10459589</v>
      </c>
      <c r="Q182" s="7" t="n">
        <v>0.173539289</v>
      </c>
      <c r="R182" s="8" t="n">
        <f aca="false">IF($A182=$A183,$C183-$C182,"")</f>
        <v>5</v>
      </c>
      <c r="S182" s="9" t="n">
        <f aca="false">IF(AND($A182=$A183,ISNUMBER(F182),ISNUMBER(F183)),(F183-F182)/($C183-$C182),"")</f>
        <v>0.0505129179999997</v>
      </c>
      <c r="T182" s="9" t="n">
        <f aca="false">IF(AND($A182=$A183,ISNUMBER(J182),ISNUMBER(J183)),(J183-J182)/($C183-$C182),"")</f>
        <v>0.281835050000001</v>
      </c>
      <c r="U182" s="9" t="n">
        <f aca="false">IF(AND($A182=$A183,ISNUMBER(N182),ISNUMBER(N183)),(N183-N182)/($C183-$C182),"")</f>
        <v>-0.471876662</v>
      </c>
      <c r="V182" s="8" t="n">
        <f aca="false">IF(ISNUMBER(F182),ROUND(F182,0),"")</f>
        <v>59</v>
      </c>
      <c r="W182" s="8" t="n">
        <f aca="false">IF(ISNUMBER(J182),ROUND(J182,0),"")</f>
        <v>48</v>
      </c>
      <c r="X182" s="8" t="n">
        <f aca="false">IF(ISNUMBER(N182),ROUND(N182,0),"")</f>
        <v>73</v>
      </c>
      <c r="Y182" s="4" t="str">
        <f aca="false">IF(AND($A182=$A183,V182=100,V183=100),"full access","")</f>
        <v/>
      </c>
      <c r="Z182" s="4" t="str">
        <f aca="false">IF(AND($A182=$A183,W182=100,W183=100),"full access","")</f>
        <v/>
      </c>
      <c r="AA182" s="4" t="str">
        <f aca="false">IF(AND($A182=$A183,X182=100,X183=100),"full access","")</f>
        <v/>
      </c>
      <c r="AB182" s="9" t="n">
        <f aca="false">IF(AND(ISNUMBER(T182),ISNUMBER(U182)),T182-U182,"")</f>
        <v>0.753711712000001</v>
      </c>
    </row>
    <row r="183" customFormat="false" ht="15" hidden="false" customHeight="false" outlineLevel="0" collapsed="false">
      <c r="A183" s="4" t="s">
        <v>173</v>
      </c>
      <c r="B183" s="4" t="str">
        <f aca="false">IFERROR(INDEX('Region Lookup'!$B$2:$B$233,MATCH(A183,'Region Lookup'!$A$2:$A$233,0)),"Not found")</f>
        <v>Sub-Saharan Africa</v>
      </c>
      <c r="C183" s="4" t="n">
        <v>2020</v>
      </c>
      <c r="D183" s="6" t="n">
        <v>1967.998047</v>
      </c>
      <c r="E183" s="7" t="n">
        <v>44.19599915</v>
      </c>
      <c r="F183" s="7" t="n">
        <v>59.01691221</v>
      </c>
      <c r="G183" s="7" t="n">
        <v>14.03457137</v>
      </c>
      <c r="H183" s="7" t="n">
        <v>26.6263769</v>
      </c>
      <c r="I183" s="7" t="n">
        <v>0.3221395192</v>
      </c>
      <c r="J183" s="7" t="n">
        <v>49.8319053</v>
      </c>
      <c r="K183" s="7" t="n">
        <v>9.285773026</v>
      </c>
      <c r="L183" s="7" t="n">
        <v>40.31645129</v>
      </c>
      <c r="M183" s="7" t="n">
        <v>0.5658703845</v>
      </c>
      <c r="N183" s="7" t="n">
        <v>70.61434791</v>
      </c>
      <c r="O183" s="7" t="n">
        <v>20.03063358</v>
      </c>
      <c r="P183" s="7" t="n">
        <v>9.340625284</v>
      </c>
      <c r="Q183" s="7" t="n">
        <v>0.01439322693</v>
      </c>
      <c r="R183" s="8" t="str">
        <f aca="false">IF($A183=$A184,$C184-$C183,"")</f>
        <v/>
      </c>
      <c r="S183" s="9" t="str">
        <f aca="false">IF(AND($A183=$A184,ISNUMBER(F183),ISNUMBER(F184)),(F184-F183)/($C184-$C183),"")</f>
        <v/>
      </c>
      <c r="T183" s="9" t="str">
        <f aca="false">IF(AND($A183=$A184,ISNUMBER(J183),ISNUMBER(J184)),(J184-J183)/($C184-$C183),"")</f>
        <v/>
      </c>
      <c r="U183" s="9" t="str">
        <f aca="false">IF(AND($A183=$A184,ISNUMBER(N183),ISNUMBER(N184)),(N184-N183)/($C184-$C183),"")</f>
        <v/>
      </c>
      <c r="V183" s="8" t="n">
        <f aca="false">IF(ISNUMBER(F183),ROUND(F183,0),"")</f>
        <v>59</v>
      </c>
      <c r="W183" s="8" t="n">
        <f aca="false">IF(ISNUMBER(J183),ROUND(J183,0),"")</f>
        <v>50</v>
      </c>
      <c r="X183" s="8" t="n">
        <f aca="false">IF(ISNUMBER(N183),ROUND(N183,0),"")</f>
        <v>71</v>
      </c>
      <c r="Y183" s="4" t="str">
        <f aca="false">IF(AND($A183=$A184,V183=100,V184=100),"full access","")</f>
        <v/>
      </c>
      <c r="Z183" s="4" t="str">
        <f aca="false">IF(AND($A183=$A184,W183=100,W184=100),"full access","")</f>
        <v/>
      </c>
      <c r="AA183" s="4" t="str">
        <f aca="false">IF(AND($A183=$A184,X183=100,X184=100),"full access","")</f>
        <v/>
      </c>
      <c r="AB183" s="9" t="str">
        <f aca="false">IF(AND(ISNUMBER(T183),ISNUMBER(U183)),T183-U183,"")</f>
        <v/>
      </c>
    </row>
    <row r="184" customFormat="false" ht="15" hidden="false" customHeight="false" outlineLevel="0" collapsed="false">
      <c r="A184" s="10" t="s">
        <v>174</v>
      </c>
      <c r="B184" s="10" t="str">
        <f aca="false">IFERROR(INDEX('Region Lookup'!$B$2:$B$233,MATCH(A184,'Region Lookup'!$A$2:$A$233,0)),"Not found")</f>
        <v>Latin America &amp; Caribbean</v>
      </c>
      <c r="C184" s="10" t="n">
        <v>2015</v>
      </c>
      <c r="D184" s="11" t="n">
        <v>767.4329834</v>
      </c>
      <c r="E184" s="12" t="n">
        <v>26.44099808</v>
      </c>
      <c r="F184" s="12" t="n">
        <v>95.16185695</v>
      </c>
      <c r="G184" s="12" t="n">
        <v>1.233247953</v>
      </c>
      <c r="H184" s="12" t="n">
        <v>1.344803287</v>
      </c>
      <c r="I184" s="12" t="n">
        <v>2.260091808</v>
      </c>
      <c r="J184" s="12" t="n">
        <v>93.42276971</v>
      </c>
      <c r="K184" s="12" t="n">
        <v>1.676542504</v>
      </c>
      <c r="L184" s="12" t="n">
        <v>1.82819943</v>
      </c>
      <c r="M184" s="12" t="n">
        <v>3.072488358</v>
      </c>
      <c r="N184" s="12" t="n">
        <v>100</v>
      </c>
      <c r="O184" s="12" t="n">
        <v>0</v>
      </c>
      <c r="P184" s="12" t="n">
        <v>0</v>
      </c>
      <c r="Q184" s="12" t="n">
        <v>0</v>
      </c>
      <c r="R184" s="13" t="n">
        <f aca="false">IF($A184=$A185,$C185-$C184,"")</f>
        <v>5</v>
      </c>
      <c r="S184" s="14" t="n">
        <f aca="false">IF(AND($A184=$A185,ISNUMBER(F184),ISNUMBER(F185)),(F185-F184)/($C185-$C184),"")</f>
        <v>0.078589980000001</v>
      </c>
      <c r="T184" s="14" t="n">
        <f aca="false">IF(AND($A184=$A185,ISNUMBER(J184),ISNUMBER(J185)),(J185-J184)/($C185-$C184),"")</f>
        <v>0.101144158</v>
      </c>
      <c r="U184" s="14" t="n">
        <f aca="false">IF(AND($A184=$A185,ISNUMBER(N184),ISNUMBER(N185)),(N185-N184)/($C185-$C184),"")</f>
        <v>0</v>
      </c>
      <c r="V184" s="13" t="n">
        <f aca="false">IF(ISNUMBER(F184),ROUND(F184,0),"")</f>
        <v>95</v>
      </c>
      <c r="W184" s="13" t="n">
        <f aca="false">IF(ISNUMBER(J184),ROUND(J184,0),"")</f>
        <v>93</v>
      </c>
      <c r="X184" s="13" t="n">
        <f aca="false">IF(ISNUMBER(N184),ROUND(N184,0),"")</f>
        <v>100</v>
      </c>
      <c r="Y184" s="10" t="str">
        <f aca="false">IF(AND($A184=$A185,V184=100,V185=100),"full access","")</f>
        <v/>
      </c>
      <c r="Z184" s="10" t="str">
        <f aca="false">IF(AND($A184=$A185,W184=100,W185=100),"full access","")</f>
        <v/>
      </c>
      <c r="AA184" s="10" t="str">
        <f aca="false">IF(AND($A184=$A185,X184=100,X185=100),"full access","")</f>
        <v>full access</v>
      </c>
      <c r="AB184" s="14" t="n">
        <f aca="false">IF(AND(ISNUMBER(T184),ISNUMBER(U184)),T184-U184,"")</f>
        <v>0.101144158</v>
      </c>
    </row>
    <row r="185" customFormat="false" ht="15" hidden="false" customHeight="false" outlineLevel="0" collapsed="false">
      <c r="A185" s="10" t="s">
        <v>174</v>
      </c>
      <c r="B185" s="10" t="str">
        <f aca="false">IFERROR(INDEX('Region Lookup'!$B$2:$B$233,MATCH(A185,'Region Lookup'!$A$2:$A$233,0)),"Not found")</f>
        <v>Latin America &amp; Caribbean</v>
      </c>
      <c r="C185" s="10" t="n">
        <v>2020</v>
      </c>
      <c r="D185" s="11" t="n">
        <v>786.559021</v>
      </c>
      <c r="E185" s="12" t="n">
        <v>26.7859993</v>
      </c>
      <c r="F185" s="12" t="n">
        <v>95.55480685</v>
      </c>
      <c r="G185" s="12" t="n">
        <v>1.205244408</v>
      </c>
      <c r="H185" s="12" t="n">
        <v>1.143069849</v>
      </c>
      <c r="I185" s="12" t="n">
        <v>2.096878897</v>
      </c>
      <c r="J185" s="12" t="n">
        <v>93.9284905</v>
      </c>
      <c r="K185" s="12" t="n">
        <v>1.646193862</v>
      </c>
      <c r="L185" s="12" t="n">
        <v>1.561274833</v>
      </c>
      <c r="M185" s="12" t="n">
        <v>2.864040809</v>
      </c>
      <c r="N185" s="12" t="n">
        <v>100</v>
      </c>
      <c r="O185" s="12" t="n">
        <v>0</v>
      </c>
      <c r="P185" s="12" t="n">
        <v>0</v>
      </c>
      <c r="Q185" s="12" t="n">
        <v>0</v>
      </c>
      <c r="R185" s="13" t="str">
        <f aca="false">IF($A185=$A186,$C186-$C185,"")</f>
        <v/>
      </c>
      <c r="S185" s="14" t="str">
        <f aca="false">IF(AND($A185=$A186,ISNUMBER(F185),ISNUMBER(F186)),(F186-F185)/($C186-$C185),"")</f>
        <v/>
      </c>
      <c r="T185" s="14" t="str">
        <f aca="false">IF(AND($A185=$A186,ISNUMBER(J185),ISNUMBER(J186)),(J186-J185)/($C186-$C185),"")</f>
        <v/>
      </c>
      <c r="U185" s="14" t="str">
        <f aca="false">IF(AND($A185=$A186,ISNUMBER(N185),ISNUMBER(N186)),(N186-N185)/($C186-$C185),"")</f>
        <v/>
      </c>
      <c r="V185" s="13" t="n">
        <f aca="false">IF(ISNUMBER(F185),ROUND(F185,0),"")</f>
        <v>96</v>
      </c>
      <c r="W185" s="13" t="n">
        <f aca="false">IF(ISNUMBER(J185),ROUND(J185,0),"")</f>
        <v>94</v>
      </c>
      <c r="X185" s="13" t="n">
        <f aca="false">IF(ISNUMBER(N185),ROUND(N185,0),"")</f>
        <v>100</v>
      </c>
      <c r="Y185" s="10" t="str">
        <f aca="false">IF(AND($A185=$A186,V185=100,V186=100),"full access","")</f>
        <v/>
      </c>
      <c r="Z185" s="10" t="str">
        <f aca="false">IF(AND($A185=$A186,W185=100,W186=100),"full access","")</f>
        <v/>
      </c>
      <c r="AA185" s="10" t="str">
        <f aca="false">IF(AND($A185=$A186,X185=100,X186=100),"full access","")</f>
        <v/>
      </c>
      <c r="AB185" s="14" t="str">
        <f aca="false">IF(AND(ISNUMBER(T185),ISNUMBER(U185)),T185-U185,"")</f>
        <v/>
      </c>
    </row>
    <row r="186" customFormat="false" ht="15" hidden="false" customHeight="false" outlineLevel="0" collapsed="false">
      <c r="A186" s="4" t="s">
        <v>175</v>
      </c>
      <c r="B186" s="4" t="str">
        <f aca="false">IFERROR(INDEX('Region Lookup'!$B$2:$B$233,MATCH(A186,'Region Lookup'!$A$2:$A$233,0)),"Not found")</f>
        <v>Sub-Saharan Africa</v>
      </c>
      <c r="C186" s="4" t="n">
        <v>2015</v>
      </c>
      <c r="D186" s="6" t="n">
        <v>10695.54004</v>
      </c>
      <c r="E186" s="7" t="n">
        <v>52.42699814</v>
      </c>
      <c r="F186" s="7" t="n">
        <v>64.56748594</v>
      </c>
      <c r="G186" s="7" t="n">
        <v>9.21848701</v>
      </c>
      <c r="H186" s="7" t="n">
        <v>25.47783945</v>
      </c>
      <c r="I186" s="7" t="n">
        <v>0.7361875961</v>
      </c>
      <c r="J186" s="7" t="n">
        <v>42.41641805</v>
      </c>
      <c r="K186" s="7" t="n">
        <v>12.22889789</v>
      </c>
      <c r="L186" s="7" t="n">
        <v>43.80719375</v>
      </c>
      <c r="M186" s="7" t="n">
        <v>1.547490317</v>
      </c>
      <c r="N186" s="7" t="n">
        <v>84.66767913</v>
      </c>
      <c r="O186" s="7" t="n">
        <v>6.486797483</v>
      </c>
      <c r="P186" s="7" t="n">
        <v>8.845523388</v>
      </c>
      <c r="Q186" s="7" t="n">
        <v>0</v>
      </c>
      <c r="R186" s="8" t="n">
        <f aca="false">IF($A186=$A187,$C187-$C186,"")</f>
        <v>5</v>
      </c>
      <c r="S186" s="9" t="n">
        <f aca="false">IF(AND($A186=$A187,ISNUMBER(F186),ISNUMBER(F187)),(F187-F186)/($C187-$C186),"")</f>
        <v>0.425564492000001</v>
      </c>
      <c r="T186" s="9" t="n">
        <f aca="false">IF(AND($A186=$A187,ISNUMBER(J186),ISNUMBER(J187)),(J187-J186)/($C187-$C186),"")</f>
        <v>0.085856410000001</v>
      </c>
      <c r="U186" s="9" t="n">
        <f aca="false">IF(AND($A186=$A187,ISNUMBER(N186),ISNUMBER(N187)),(N187-N186)/($C187-$C186),"")</f>
        <v>-0.00901156799999967</v>
      </c>
      <c r="V186" s="8" t="n">
        <f aca="false">IF(ISNUMBER(F186),ROUND(F186,0),"")</f>
        <v>65</v>
      </c>
      <c r="W186" s="8" t="n">
        <f aca="false">IF(ISNUMBER(J186),ROUND(J186,0),"")</f>
        <v>42</v>
      </c>
      <c r="X186" s="8" t="n">
        <f aca="false">IF(ISNUMBER(N186),ROUND(N186,0),"")</f>
        <v>85</v>
      </c>
      <c r="Y186" s="4" t="str">
        <f aca="false">IF(AND($A186=$A187,V186=100,V187=100),"full access","")</f>
        <v/>
      </c>
      <c r="Z186" s="4" t="str">
        <f aca="false">IF(AND($A186=$A187,W186=100,W187=100),"full access","")</f>
        <v/>
      </c>
      <c r="AA186" s="4" t="str">
        <f aca="false">IF(AND($A186=$A187,X186=100,X187=100),"full access","")</f>
        <v/>
      </c>
      <c r="AB186" s="9" t="n">
        <f aca="false">IF(AND(ISNUMBER(T186),ISNUMBER(U186)),T186-U186,"")</f>
        <v>0.0948679780000006</v>
      </c>
    </row>
    <row r="187" customFormat="false" ht="15" hidden="false" customHeight="false" outlineLevel="0" collapsed="false">
      <c r="A187" s="4" t="s">
        <v>175</v>
      </c>
      <c r="B187" s="4" t="str">
        <f aca="false">IFERROR(INDEX('Region Lookup'!$B$2:$B$233,MATCH(A187,'Region Lookup'!$A$2:$A$233,0)),"Not found")</f>
        <v>Sub-Saharan Africa</v>
      </c>
      <c r="C187" s="4" t="n">
        <v>2020</v>
      </c>
      <c r="D187" s="6" t="n">
        <v>11402.5332</v>
      </c>
      <c r="E187" s="7" t="n">
        <v>57.08799744</v>
      </c>
      <c r="F187" s="7" t="n">
        <v>66.6953084</v>
      </c>
      <c r="G187" s="7" t="n">
        <v>9.814543652</v>
      </c>
      <c r="H187" s="7" t="n">
        <v>23.49014795</v>
      </c>
      <c r="I187" s="7" t="n">
        <v>0</v>
      </c>
      <c r="J187" s="7" t="n">
        <v>42.8457001</v>
      </c>
      <c r="K187" s="7" t="n">
        <v>13.25598695</v>
      </c>
      <c r="L187" s="7" t="n">
        <v>43.89831295</v>
      </c>
      <c r="M187" s="7" t="n">
        <v>0</v>
      </c>
      <c r="N187" s="7" t="n">
        <v>84.62262129</v>
      </c>
      <c r="O187" s="7" t="n">
        <v>7.227673879</v>
      </c>
      <c r="P187" s="7" t="n">
        <v>8.149704835</v>
      </c>
      <c r="Q187" s="7" t="n">
        <v>0</v>
      </c>
      <c r="R187" s="8" t="str">
        <f aca="false">IF($A187=$A188,$C188-$C187,"")</f>
        <v/>
      </c>
      <c r="S187" s="9" t="str">
        <f aca="false">IF(AND($A187=$A188,ISNUMBER(F187),ISNUMBER(F188)),(F188-F187)/($C188-$C187),"")</f>
        <v/>
      </c>
      <c r="T187" s="9" t="str">
        <f aca="false">IF(AND($A187=$A188,ISNUMBER(J187),ISNUMBER(J188)),(J188-J187)/($C188-$C187),"")</f>
        <v/>
      </c>
      <c r="U187" s="9" t="str">
        <f aca="false">IF(AND($A187=$A188,ISNUMBER(N187),ISNUMBER(N188)),(N188-N187)/($C188-$C187),"")</f>
        <v/>
      </c>
      <c r="V187" s="8" t="n">
        <f aca="false">IF(ISNUMBER(F187),ROUND(F187,0),"")</f>
        <v>67</v>
      </c>
      <c r="W187" s="8" t="n">
        <f aca="false">IF(ISNUMBER(J187),ROUND(J187,0),"")</f>
        <v>43</v>
      </c>
      <c r="X187" s="8" t="n">
        <f aca="false">IF(ISNUMBER(N187),ROUND(N187,0),"")</f>
        <v>85</v>
      </c>
      <c r="Y187" s="4" t="str">
        <f aca="false">IF(AND($A187=$A188,V187=100,V188=100),"full access","")</f>
        <v/>
      </c>
      <c r="Z187" s="4" t="str">
        <f aca="false">IF(AND($A187=$A188,W187=100,W188=100),"full access","")</f>
        <v/>
      </c>
      <c r="AA187" s="4" t="str">
        <f aca="false">IF(AND($A187=$A188,X187=100,X188=100),"full access","")</f>
        <v/>
      </c>
      <c r="AB187" s="9" t="str">
        <f aca="false">IF(AND(ISNUMBER(T187),ISNUMBER(U187)),T187-U187,"")</f>
        <v/>
      </c>
    </row>
    <row r="188" customFormat="false" ht="15" hidden="false" customHeight="false" outlineLevel="0" collapsed="false">
      <c r="A188" s="10" t="s">
        <v>176</v>
      </c>
      <c r="B188" s="10" t="str">
        <f aca="false">IFERROR(INDEX('Region Lookup'!$B$2:$B$233,MATCH(A188,'Region Lookup'!$A$2:$A$233,0)),"Not found")</f>
        <v>Latin America &amp; Caribbean</v>
      </c>
      <c r="C188" s="10" t="n">
        <v>2015</v>
      </c>
      <c r="D188" s="11" t="n">
        <v>9112.904297</v>
      </c>
      <c r="E188" s="12" t="n">
        <v>55.1649971</v>
      </c>
      <c r="F188" s="12" t="n">
        <v>93.25441071</v>
      </c>
      <c r="G188" s="12" t="n">
        <v>0.4317541067</v>
      </c>
      <c r="H188" s="12" t="n">
        <v>6.022156156</v>
      </c>
      <c r="I188" s="12" t="n">
        <v>0.2916790284</v>
      </c>
      <c r="J188" s="12" t="n">
        <v>86.43707375</v>
      </c>
      <c r="K188" s="12" t="n">
        <v>0.7758441046</v>
      </c>
      <c r="L188" s="12" t="n">
        <v>12.14597638</v>
      </c>
      <c r="M188" s="12" t="n">
        <v>0.6411057671</v>
      </c>
      <c r="N188" s="12" t="n">
        <v>98.79516268</v>
      </c>
      <c r="O188" s="12" t="n">
        <v>0.152097161</v>
      </c>
      <c r="P188" s="12" t="n">
        <v>1.04505549</v>
      </c>
      <c r="Q188" s="12" t="n">
        <v>0.00768467364</v>
      </c>
      <c r="R188" s="13" t="n">
        <f aca="false">IF($A188=$A189,$C189-$C188,"")</f>
        <v>5</v>
      </c>
      <c r="S188" s="14" t="n">
        <f aca="false">IF(AND($A188=$A189,ISNUMBER(F188),ISNUMBER(F189)),(F189-F188)/($C189-$C188),"")</f>
        <v>0.486962084000001</v>
      </c>
      <c r="T188" s="14" t="n">
        <f aca="false">IF(AND($A188=$A189,ISNUMBER(J188),ISNUMBER(J189)),(J189-J188)/($C189-$C188),"")</f>
        <v>0.68774516</v>
      </c>
      <c r="U188" s="14" t="n">
        <f aca="false">IF(AND($A188=$A189,ISNUMBER(N188),ISNUMBER(N189)),(N189-N188)/($C189-$C188),"")</f>
        <v>0.208424026</v>
      </c>
      <c r="V188" s="13" t="n">
        <f aca="false">IF(ISNUMBER(F188),ROUND(F188,0),"")</f>
        <v>93</v>
      </c>
      <c r="W188" s="13" t="n">
        <f aca="false">IF(ISNUMBER(J188),ROUND(J188,0),"")</f>
        <v>86</v>
      </c>
      <c r="X188" s="13" t="n">
        <f aca="false">IF(ISNUMBER(N188),ROUND(N188,0),"")</f>
        <v>99</v>
      </c>
      <c r="Y188" s="10" t="str">
        <f aca="false">IF(AND($A188=$A189,V188=100,V189=100),"full access","")</f>
        <v/>
      </c>
      <c r="Z188" s="10" t="str">
        <f aca="false">IF(AND($A188=$A189,W188=100,W189=100),"full access","")</f>
        <v/>
      </c>
      <c r="AA188" s="10" t="str">
        <f aca="false">IF(AND($A188=$A189,X188=100,X189=100),"full access","")</f>
        <v/>
      </c>
      <c r="AB188" s="14" t="n">
        <f aca="false">IF(AND(ISNUMBER(T188),ISNUMBER(U188)),T188-U188,"")</f>
        <v>0.479321134</v>
      </c>
    </row>
    <row r="189" customFormat="false" ht="15" hidden="false" customHeight="false" outlineLevel="0" collapsed="false">
      <c r="A189" s="10" t="s">
        <v>176</v>
      </c>
      <c r="B189" s="10" t="str">
        <f aca="false">IFERROR(INDEX('Region Lookup'!$B$2:$B$233,MATCH(A189,'Region Lookup'!$A$2:$A$233,0)),"Not found")</f>
        <v>Latin America &amp; Caribbean</v>
      </c>
      <c r="C189" s="10" t="n">
        <v>2020</v>
      </c>
      <c r="D189" s="11" t="n">
        <v>9904.608398</v>
      </c>
      <c r="E189" s="12" t="n">
        <v>58.35899734</v>
      </c>
      <c r="F189" s="12" t="n">
        <v>95.68922113</v>
      </c>
      <c r="G189" s="12" t="n">
        <v>0.4256206085</v>
      </c>
      <c r="H189" s="12" t="n">
        <v>3.885158264</v>
      </c>
      <c r="I189" s="12" t="n">
        <v>0</v>
      </c>
      <c r="J189" s="12" t="n">
        <v>89.87579955</v>
      </c>
      <c r="K189" s="12" t="n">
        <v>0.8067095079</v>
      </c>
      <c r="L189" s="12" t="n">
        <v>9.317490946</v>
      </c>
      <c r="M189" s="12" t="n">
        <v>0</v>
      </c>
      <c r="N189" s="12" t="n">
        <v>99.83728281</v>
      </c>
      <c r="O189" s="12" t="n">
        <v>0.1537015262</v>
      </c>
      <c r="P189" s="12" t="n">
        <v>0.009015663296</v>
      </c>
      <c r="Q189" s="12" t="n">
        <v>0</v>
      </c>
      <c r="R189" s="13" t="str">
        <f aca="false">IF($A189=$A190,$C190-$C189,"")</f>
        <v/>
      </c>
      <c r="S189" s="14" t="str">
        <f aca="false">IF(AND($A189=$A190,ISNUMBER(F189),ISNUMBER(F190)),(F190-F189)/($C190-$C189),"")</f>
        <v/>
      </c>
      <c r="T189" s="14" t="str">
        <f aca="false">IF(AND($A189=$A190,ISNUMBER(J189),ISNUMBER(J190)),(J190-J189)/($C190-$C189),"")</f>
        <v/>
      </c>
      <c r="U189" s="14" t="str">
        <f aca="false">IF(AND($A189=$A190,ISNUMBER(N189),ISNUMBER(N190)),(N190-N189)/($C190-$C189),"")</f>
        <v/>
      </c>
      <c r="V189" s="13" t="n">
        <f aca="false">IF(ISNUMBER(F189),ROUND(F189,0),"")</f>
        <v>96</v>
      </c>
      <c r="W189" s="13" t="n">
        <f aca="false">IF(ISNUMBER(J189),ROUND(J189,0),"")</f>
        <v>90</v>
      </c>
      <c r="X189" s="13" t="n">
        <f aca="false">IF(ISNUMBER(N189),ROUND(N189,0),"")</f>
        <v>100</v>
      </c>
      <c r="Y189" s="10" t="str">
        <f aca="false">IF(AND($A189=$A190,V189=100,V190=100),"full access","")</f>
        <v/>
      </c>
      <c r="Z189" s="10" t="str">
        <f aca="false">IF(AND($A189=$A190,W189=100,W190=100),"full access","")</f>
        <v/>
      </c>
      <c r="AA189" s="10" t="str">
        <f aca="false">IF(AND($A189=$A190,X189=100,X190=100),"full access","")</f>
        <v/>
      </c>
      <c r="AB189" s="14" t="str">
        <f aca="false">IF(AND(ISNUMBER(T189),ISNUMBER(U189)),T189-U189,"")</f>
        <v/>
      </c>
    </row>
    <row r="190" customFormat="false" ht="15" hidden="false" customHeight="false" outlineLevel="0" collapsed="false">
      <c r="A190" s="4" t="s">
        <v>177</v>
      </c>
      <c r="B190" s="4" t="str">
        <f aca="false">IFERROR(INDEX('Region Lookup'!$B$2:$B$233,MATCH(A190,'Region Lookup'!$A$2:$A$233,0)),"Not found")</f>
        <v>Europe &amp; Central Asia</v>
      </c>
      <c r="C190" s="4" t="n">
        <v>2015</v>
      </c>
      <c r="D190" s="6" t="n">
        <v>9777.924805</v>
      </c>
      <c r="E190" s="7" t="n">
        <v>70.5</v>
      </c>
      <c r="F190" s="7" t="n">
        <v>99.97052896</v>
      </c>
      <c r="G190" s="7" t="n">
        <v>0</v>
      </c>
      <c r="H190" s="7" t="n">
        <v>0.0294710394</v>
      </c>
      <c r="I190" s="7" t="n">
        <v>0</v>
      </c>
      <c r="J190" s="7" t="n">
        <v>99.90008972</v>
      </c>
      <c r="K190" s="7" t="n">
        <v>0</v>
      </c>
      <c r="L190" s="7" t="n">
        <v>0.09991028479</v>
      </c>
      <c r="M190" s="7" t="n">
        <v>0</v>
      </c>
      <c r="N190" s="7" t="n">
        <v>100</v>
      </c>
      <c r="O190" s="7" t="n">
        <v>0</v>
      </c>
      <c r="P190" s="7" t="n">
        <v>0</v>
      </c>
      <c r="Q190" s="7" t="n">
        <v>0</v>
      </c>
      <c r="R190" s="8" t="n">
        <f aca="false">IF($A190=$A191,$C191-$C190,"")</f>
        <v>5</v>
      </c>
      <c r="S190" s="9" t="n">
        <f aca="false">IF(AND($A190=$A191,ISNUMBER(F190),ISNUMBER(F191)),(F191-F190)/($C191-$C190),"")</f>
        <v>0.00589370200000019</v>
      </c>
      <c r="T190" s="9" t="n">
        <f aca="false">IF(AND($A190=$A191,ISNUMBER(J190),ISNUMBER(J191)),(J191-J190)/($C191-$C190),"")</f>
        <v>0.0199820560000006</v>
      </c>
      <c r="U190" s="9" t="n">
        <f aca="false">IF(AND($A190=$A191,ISNUMBER(N190),ISNUMBER(N191)),(N191-N190)/($C191-$C190),"")</f>
        <v>0</v>
      </c>
      <c r="V190" s="8" t="n">
        <f aca="false">IF(ISNUMBER(F190),ROUND(F190,0),"")</f>
        <v>100</v>
      </c>
      <c r="W190" s="8" t="n">
        <f aca="false">IF(ISNUMBER(J190),ROUND(J190,0),"")</f>
        <v>100</v>
      </c>
      <c r="X190" s="8" t="n">
        <f aca="false">IF(ISNUMBER(N190),ROUND(N190,0),"")</f>
        <v>100</v>
      </c>
      <c r="Y190" s="4" t="str">
        <f aca="false">IF(AND($A190=$A191,V190=100,V191=100),"full access","")</f>
        <v>full access</v>
      </c>
      <c r="Z190" s="4" t="str">
        <f aca="false">IF(AND($A190=$A191,W190=100,W191=100),"full access","")</f>
        <v>full access</v>
      </c>
      <c r="AA190" s="4" t="str">
        <f aca="false">IF(AND($A190=$A191,X190=100,X191=100),"full access","")</f>
        <v>full access</v>
      </c>
      <c r="AB190" s="9" t="n">
        <f aca="false">IF(AND(ISNUMBER(T190),ISNUMBER(U190)),T190-U190,"")</f>
        <v>0.0199820560000006</v>
      </c>
    </row>
    <row r="191" customFormat="false" ht="15" hidden="false" customHeight="false" outlineLevel="0" collapsed="false">
      <c r="A191" s="4" t="s">
        <v>177</v>
      </c>
      <c r="B191" s="4" t="str">
        <f aca="false">IFERROR(INDEX('Region Lookup'!$B$2:$B$233,MATCH(A191,'Region Lookup'!$A$2:$A$233,0)),"Not found")</f>
        <v>Europe &amp; Central Asia</v>
      </c>
      <c r="C191" s="4" t="n">
        <v>2020</v>
      </c>
      <c r="D191" s="6" t="n">
        <v>9660.349609</v>
      </c>
      <c r="E191" s="7" t="n">
        <v>71.94200134</v>
      </c>
      <c r="F191" s="7" t="n">
        <v>99.99999747</v>
      </c>
      <c r="G191" s="7" t="n">
        <v>0</v>
      </c>
      <c r="H191" s="7" t="n">
        <v>2.527244192E-006</v>
      </c>
      <c r="I191" s="7" t="n">
        <v>0</v>
      </c>
      <c r="J191" s="7" t="n">
        <v>100</v>
      </c>
      <c r="K191" s="7" t="n">
        <v>0</v>
      </c>
      <c r="L191" s="7" t="n">
        <v>0</v>
      </c>
      <c r="M191" s="7" t="n">
        <v>0</v>
      </c>
      <c r="N191" s="7" t="n">
        <v>100</v>
      </c>
      <c r="O191" s="7" t="n">
        <v>0</v>
      </c>
      <c r="P191" s="7" t="n">
        <v>0</v>
      </c>
      <c r="Q191" s="7" t="n">
        <v>0</v>
      </c>
      <c r="R191" s="8" t="str">
        <f aca="false">IF($A191=$A192,$C192-$C191,"")</f>
        <v/>
      </c>
      <c r="S191" s="9" t="str">
        <f aca="false">IF(AND($A191=$A192,ISNUMBER(F191),ISNUMBER(F192)),(F192-F191)/($C192-$C191),"")</f>
        <v/>
      </c>
      <c r="T191" s="9" t="str">
        <f aca="false">IF(AND($A191=$A192,ISNUMBER(J191),ISNUMBER(J192)),(J192-J191)/($C192-$C191),"")</f>
        <v/>
      </c>
      <c r="U191" s="9" t="str">
        <f aca="false">IF(AND($A191=$A192,ISNUMBER(N191),ISNUMBER(N192)),(N192-N191)/($C192-$C191),"")</f>
        <v/>
      </c>
      <c r="V191" s="8" t="n">
        <f aca="false">IF(ISNUMBER(F191),ROUND(F191,0),"")</f>
        <v>100</v>
      </c>
      <c r="W191" s="8" t="n">
        <f aca="false">IF(ISNUMBER(J191),ROUND(J191,0),"")</f>
        <v>100</v>
      </c>
      <c r="X191" s="8" t="n">
        <f aca="false">IF(ISNUMBER(N191),ROUND(N191,0),"")</f>
        <v>100</v>
      </c>
      <c r="Y191" s="4" t="str">
        <f aca="false">IF(AND($A191=$A192,V191=100,V192=100),"full access","")</f>
        <v/>
      </c>
      <c r="Z191" s="4" t="str">
        <f aca="false">IF(AND($A191=$A192,W191=100,W192=100),"full access","")</f>
        <v/>
      </c>
      <c r="AA191" s="4" t="str">
        <f aca="false">IF(AND($A191=$A192,X191=100,X192=100),"full access","")</f>
        <v/>
      </c>
      <c r="AB191" s="9" t="str">
        <f aca="false">IF(AND(ISNUMBER(T191),ISNUMBER(U191)),T191-U191,"")</f>
        <v/>
      </c>
    </row>
    <row r="192" customFormat="false" ht="15" hidden="false" customHeight="false" outlineLevel="0" collapsed="false">
      <c r="A192" s="10" t="s">
        <v>178</v>
      </c>
      <c r="B192" s="10" t="str">
        <f aca="false">IFERROR(INDEX('Region Lookup'!$B$2:$B$233,MATCH(A192,'Region Lookup'!$A$2:$A$233,0)),"Not found")</f>
        <v>Europe &amp; Central Asia</v>
      </c>
      <c r="C192" s="10" t="n">
        <v>2015</v>
      </c>
      <c r="D192" s="11" t="n">
        <v>330.2369995</v>
      </c>
      <c r="E192" s="12" t="n">
        <v>93.69999695</v>
      </c>
      <c r="F192" s="12" t="n">
        <v>100.0000023</v>
      </c>
      <c r="G192" s="12" t="n">
        <v>0</v>
      </c>
      <c r="H192" s="12" t="n">
        <v>0</v>
      </c>
      <c r="I192" s="12" t="n">
        <v>0</v>
      </c>
      <c r="J192" s="12" t="n">
        <v>100</v>
      </c>
      <c r="K192" s="12" t="n">
        <v>0</v>
      </c>
      <c r="L192" s="12" t="n">
        <v>0</v>
      </c>
      <c r="M192" s="12" t="n">
        <v>0</v>
      </c>
      <c r="N192" s="12" t="n">
        <v>100</v>
      </c>
      <c r="O192" s="12" t="n">
        <v>0</v>
      </c>
      <c r="P192" s="12" t="n">
        <v>0</v>
      </c>
      <c r="Q192" s="12" t="n">
        <v>0</v>
      </c>
      <c r="R192" s="13" t="n">
        <f aca="false">IF($A192=$A193,$C193-$C192,"")</f>
        <v>5</v>
      </c>
      <c r="S192" s="14" t="n">
        <f aca="false">IF(AND($A192=$A193,ISNUMBER(F192),ISNUMBER(F193)),(F193-F192)/($C193-$C192),"")</f>
        <v>-1.01800000038565E-006</v>
      </c>
      <c r="T192" s="14" t="n">
        <f aca="false">IF(AND($A192=$A193,ISNUMBER(J192),ISNUMBER(J193)),(J193-J192)/($C193-$C192),"")</f>
        <v>0</v>
      </c>
      <c r="U192" s="14" t="n">
        <f aca="false">IF(AND($A192=$A193,ISNUMBER(N192),ISNUMBER(N193)),(N193-N192)/($C193-$C192),"")</f>
        <v>0</v>
      </c>
      <c r="V192" s="13" t="n">
        <f aca="false">IF(ISNUMBER(F192),ROUND(F192,0),"")</f>
        <v>100</v>
      </c>
      <c r="W192" s="13" t="n">
        <f aca="false">IF(ISNUMBER(J192),ROUND(J192,0),"")</f>
        <v>100</v>
      </c>
      <c r="X192" s="13" t="n">
        <f aca="false">IF(ISNUMBER(N192),ROUND(N192,0),"")</f>
        <v>100</v>
      </c>
      <c r="Y192" s="10" t="str">
        <f aca="false">IF(AND($A192=$A193,V192=100,V193=100),"full access","")</f>
        <v>full access</v>
      </c>
      <c r="Z192" s="10" t="str">
        <f aca="false">IF(AND($A192=$A193,W192=100,W193=100),"full access","")</f>
        <v>full access</v>
      </c>
      <c r="AA192" s="10" t="str">
        <f aca="false">IF(AND($A192=$A193,X192=100,X193=100),"full access","")</f>
        <v>full access</v>
      </c>
      <c r="AB192" s="14" t="n">
        <f aca="false">IF(AND(ISNUMBER(T192),ISNUMBER(U192)),T192-U192,"")</f>
        <v>0</v>
      </c>
    </row>
    <row r="193" customFormat="false" ht="15" hidden="false" customHeight="false" outlineLevel="0" collapsed="false">
      <c r="A193" s="10" t="s">
        <v>178</v>
      </c>
      <c r="B193" s="10" t="str">
        <f aca="false">IFERROR(INDEX('Region Lookup'!$B$2:$B$233,MATCH(A193,'Region Lookup'!$A$2:$A$233,0)),"Not found")</f>
        <v>Europe &amp; Central Asia</v>
      </c>
      <c r="C193" s="10" t="n">
        <v>2020</v>
      </c>
      <c r="D193" s="11" t="n">
        <v>341.25</v>
      </c>
      <c r="E193" s="12" t="n">
        <v>93.897995</v>
      </c>
      <c r="F193" s="12" t="n">
        <v>99.99999721</v>
      </c>
      <c r="G193" s="12" t="n">
        <v>0</v>
      </c>
      <c r="H193" s="12" t="n">
        <v>2.794650015E-006</v>
      </c>
      <c r="I193" s="12" t="n">
        <v>0</v>
      </c>
      <c r="J193" s="12" t="n">
        <v>100</v>
      </c>
      <c r="K193" s="12" t="n">
        <v>0</v>
      </c>
      <c r="L193" s="12" t="n">
        <v>0</v>
      </c>
      <c r="M193" s="12" t="n">
        <v>0</v>
      </c>
      <c r="N193" s="12" t="n">
        <v>100</v>
      </c>
      <c r="O193" s="12" t="n">
        <v>0</v>
      </c>
      <c r="P193" s="12" t="n">
        <v>0</v>
      </c>
      <c r="Q193" s="12" t="n">
        <v>0</v>
      </c>
      <c r="R193" s="13" t="str">
        <f aca="false">IF($A193=$A194,$C194-$C193,"")</f>
        <v/>
      </c>
      <c r="S193" s="14" t="str">
        <f aca="false">IF(AND($A193=$A194,ISNUMBER(F193),ISNUMBER(F194)),(F194-F193)/($C194-$C193),"")</f>
        <v/>
      </c>
      <c r="T193" s="14" t="str">
        <f aca="false">IF(AND($A193=$A194,ISNUMBER(J193),ISNUMBER(J194)),(J194-J193)/($C194-$C193),"")</f>
        <v/>
      </c>
      <c r="U193" s="14" t="str">
        <f aca="false">IF(AND($A193=$A194,ISNUMBER(N193),ISNUMBER(N194)),(N194-N193)/($C194-$C193),"")</f>
        <v/>
      </c>
      <c r="V193" s="13" t="n">
        <f aca="false">IF(ISNUMBER(F193),ROUND(F193,0),"")</f>
        <v>100</v>
      </c>
      <c r="W193" s="13" t="n">
        <f aca="false">IF(ISNUMBER(J193),ROUND(J193,0),"")</f>
        <v>100</v>
      </c>
      <c r="X193" s="13" t="n">
        <f aca="false">IF(ISNUMBER(N193),ROUND(N193,0),"")</f>
        <v>100</v>
      </c>
      <c r="Y193" s="10" t="str">
        <f aca="false">IF(AND($A193=$A194,V193=100,V194=100),"full access","")</f>
        <v/>
      </c>
      <c r="Z193" s="10" t="str">
        <f aca="false">IF(AND($A193=$A194,W193=100,W194=100),"full access","")</f>
        <v/>
      </c>
      <c r="AA193" s="10" t="str">
        <f aca="false">IF(AND($A193=$A194,X193=100,X194=100),"full access","")</f>
        <v/>
      </c>
      <c r="AB193" s="14" t="str">
        <f aca="false">IF(AND(ISNUMBER(T193),ISNUMBER(U193)),T193-U193,"")</f>
        <v/>
      </c>
    </row>
    <row r="194" customFormat="false" ht="15" hidden="false" customHeight="false" outlineLevel="0" collapsed="false">
      <c r="A194" s="4" t="s">
        <v>179</v>
      </c>
      <c r="B194" s="4" t="str">
        <f aca="false">IFERROR(INDEX('Region Lookup'!$B$2:$B$233,MATCH(A194,'Region Lookup'!$A$2:$A$233,0)),"Not found")</f>
        <v>South Asia</v>
      </c>
      <c r="C194" s="4" t="n">
        <v>2015</v>
      </c>
      <c r="D194" s="6" t="n">
        <v>1310152.375</v>
      </c>
      <c r="E194" s="7" t="n">
        <v>32.77700043</v>
      </c>
      <c r="F194" s="7" t="n">
        <v>88.13813263</v>
      </c>
      <c r="G194" s="7" t="n">
        <v>4.692599015</v>
      </c>
      <c r="H194" s="7" t="n">
        <v>6.412451552</v>
      </c>
      <c r="I194" s="7" t="n">
        <v>0.7568168039</v>
      </c>
      <c r="J194" s="7" t="n">
        <v>85.57200035</v>
      </c>
      <c r="K194" s="7" t="n">
        <v>5.542133893</v>
      </c>
      <c r="L194" s="7" t="n">
        <v>7.880870004</v>
      </c>
      <c r="M194" s="7" t="n">
        <v>1.004995751</v>
      </c>
      <c r="N194" s="7" t="n">
        <v>93.40106461</v>
      </c>
      <c r="O194" s="7" t="n">
        <v>2.950270954</v>
      </c>
      <c r="P194" s="7" t="n">
        <v>3.4008428</v>
      </c>
      <c r="Q194" s="7" t="n">
        <v>0.2478216409</v>
      </c>
      <c r="R194" s="8" t="n">
        <f aca="false">IF($A194=$A195,$C195-$C194,"")</f>
        <v>5</v>
      </c>
      <c r="S194" s="9" t="n">
        <f aca="false">IF(AND($A194=$A195,ISNUMBER(F194),ISNUMBER(F195)),(F195-F194)/($C195-$C194),"")</f>
        <v>0.470278479999999</v>
      </c>
      <c r="T194" s="9" t="n">
        <f aca="false">IF(AND($A194=$A195,ISNUMBER(J194),ISNUMBER(J195)),(J195-J194)/($C195-$C194),"")</f>
        <v>0.642100556</v>
      </c>
      <c r="U194" s="9" t="n">
        <f aca="false">IF(AND($A194=$A195,ISNUMBER(N194),ISNUMBER(N195)),(N195-N194)/($C195-$C194),"")</f>
        <v>0.0537943380000002</v>
      </c>
      <c r="V194" s="8" t="n">
        <f aca="false">IF(ISNUMBER(F194),ROUND(F194,0),"")</f>
        <v>88</v>
      </c>
      <c r="W194" s="8" t="n">
        <f aca="false">IF(ISNUMBER(J194),ROUND(J194,0),"")</f>
        <v>86</v>
      </c>
      <c r="X194" s="8" t="n">
        <f aca="false">IF(ISNUMBER(N194),ROUND(N194,0),"")</f>
        <v>93</v>
      </c>
      <c r="Y194" s="4" t="str">
        <f aca="false">IF(AND($A194=$A195,V194=100,V195=100),"full access","")</f>
        <v/>
      </c>
      <c r="Z194" s="4" t="str">
        <f aca="false">IF(AND($A194=$A195,W194=100,W195=100),"full access","")</f>
        <v/>
      </c>
      <c r="AA194" s="4" t="str">
        <f aca="false">IF(AND($A194=$A195,X194=100,X195=100),"full access","")</f>
        <v/>
      </c>
      <c r="AB194" s="9" t="n">
        <f aca="false">IF(AND(ISNUMBER(T194),ISNUMBER(U194)),T194-U194,"")</f>
        <v>0.588306218</v>
      </c>
    </row>
    <row r="195" customFormat="false" ht="15" hidden="false" customHeight="false" outlineLevel="0" collapsed="false">
      <c r="A195" s="4" t="s">
        <v>179</v>
      </c>
      <c r="B195" s="4" t="str">
        <f aca="false">IFERROR(INDEX('Region Lookup'!$B$2:$B$233,MATCH(A195,'Region Lookup'!$A$2:$A$233,0)),"Not found")</f>
        <v>South Asia</v>
      </c>
      <c r="C195" s="4" t="n">
        <v>2020</v>
      </c>
      <c r="D195" s="6" t="n">
        <v>1380004.375</v>
      </c>
      <c r="E195" s="7" t="n">
        <v>34.9260025</v>
      </c>
      <c r="F195" s="7" t="n">
        <v>90.48952503</v>
      </c>
      <c r="G195" s="7" t="n">
        <v>4.983602562</v>
      </c>
      <c r="H195" s="7" t="n">
        <v>3.963153945</v>
      </c>
      <c r="I195" s="7" t="n">
        <v>0.5637184626</v>
      </c>
      <c r="J195" s="7" t="n">
        <v>88.78250313</v>
      </c>
      <c r="K195" s="7" t="n">
        <v>5.902210054</v>
      </c>
      <c r="L195" s="7" t="n">
        <v>4.57637573</v>
      </c>
      <c r="M195" s="7" t="n">
        <v>0.7389110856</v>
      </c>
      <c r="N195" s="7" t="n">
        <v>93.6700363</v>
      </c>
      <c r="O195" s="7" t="n">
        <v>3.272056027</v>
      </c>
      <c r="P195" s="7" t="n">
        <v>2.820607523</v>
      </c>
      <c r="Q195" s="7" t="n">
        <v>0.2373001538</v>
      </c>
      <c r="R195" s="8" t="str">
        <f aca="false">IF($A195=$A196,$C196-$C195,"")</f>
        <v/>
      </c>
      <c r="S195" s="9" t="str">
        <f aca="false">IF(AND($A195=$A196,ISNUMBER(F195),ISNUMBER(F196)),(F196-F195)/($C196-$C195),"")</f>
        <v/>
      </c>
      <c r="T195" s="9" t="str">
        <f aca="false">IF(AND($A195=$A196,ISNUMBER(J195),ISNUMBER(J196)),(J196-J195)/($C196-$C195),"")</f>
        <v/>
      </c>
      <c r="U195" s="9" t="str">
        <f aca="false">IF(AND($A195=$A196,ISNUMBER(N195),ISNUMBER(N196)),(N196-N195)/($C196-$C195),"")</f>
        <v/>
      </c>
      <c r="V195" s="8" t="n">
        <f aca="false">IF(ISNUMBER(F195),ROUND(F195,0),"")</f>
        <v>90</v>
      </c>
      <c r="W195" s="8" t="n">
        <f aca="false">IF(ISNUMBER(J195),ROUND(J195,0),"")</f>
        <v>89</v>
      </c>
      <c r="X195" s="8" t="n">
        <f aca="false">IF(ISNUMBER(N195),ROUND(N195,0),"")</f>
        <v>94</v>
      </c>
      <c r="Y195" s="4" t="str">
        <f aca="false">IF(AND($A195=$A196,V195=100,V196=100),"full access","")</f>
        <v/>
      </c>
      <c r="Z195" s="4" t="str">
        <f aca="false">IF(AND($A195=$A196,W195=100,W196=100),"full access","")</f>
        <v/>
      </c>
      <c r="AA195" s="4" t="str">
        <f aca="false">IF(AND($A195=$A196,X195=100,X196=100),"full access","")</f>
        <v/>
      </c>
      <c r="AB195" s="9" t="str">
        <f aca="false">IF(AND(ISNUMBER(T195),ISNUMBER(U195)),T195-U195,"")</f>
        <v/>
      </c>
    </row>
    <row r="196" customFormat="false" ht="15" hidden="false" customHeight="false" outlineLevel="0" collapsed="false">
      <c r="A196" s="10" t="s">
        <v>180</v>
      </c>
      <c r="B196" s="10" t="str">
        <f aca="false">IFERROR(INDEX('Region Lookup'!$B$2:$B$233,MATCH(A196,'Region Lookup'!$A$2:$A$233,0)),"Not found")</f>
        <v>East Asia &amp; Pacific</v>
      </c>
      <c r="C196" s="10" t="n">
        <v>2015</v>
      </c>
      <c r="D196" s="11" t="n">
        <v>258383.25</v>
      </c>
      <c r="E196" s="12" t="n">
        <v>53.31299973</v>
      </c>
      <c r="F196" s="12" t="n">
        <v>88.52735296</v>
      </c>
      <c r="G196" s="12" t="n">
        <v>0.7941305226</v>
      </c>
      <c r="H196" s="12" t="n">
        <v>8.943859564</v>
      </c>
      <c r="I196" s="12" t="n">
        <v>1.734656954</v>
      </c>
      <c r="J196" s="12" t="n">
        <v>80.63079119</v>
      </c>
      <c r="K196" s="12" t="n">
        <v>0.9740457315</v>
      </c>
      <c r="L196" s="12" t="n">
        <v>14.98518808</v>
      </c>
      <c r="M196" s="12" t="n">
        <v>3.409975001</v>
      </c>
      <c r="N196" s="12" t="n">
        <v>95.44249176</v>
      </c>
      <c r="O196" s="12" t="n">
        <v>0.6365760478</v>
      </c>
      <c r="P196" s="12" t="n">
        <v>3.653376641</v>
      </c>
      <c r="Q196" s="12" t="n">
        <v>0.2675555532</v>
      </c>
      <c r="R196" s="13" t="n">
        <f aca="false">IF($A196=$A197,$C197-$C196,"")</f>
        <v>5</v>
      </c>
      <c r="S196" s="14" t="n">
        <f aca="false">IF(AND($A196=$A197,ISNUMBER(F196),ISNUMBER(F197)),(F197-F196)/($C197-$C196),"")</f>
        <v>0.777599330000001</v>
      </c>
      <c r="T196" s="14" t="n">
        <f aca="false">IF(AND($A196=$A197,ISNUMBER(J196),ISNUMBER(J197)),(J197-J196)/($C197-$C196),"")</f>
        <v>1.007434238</v>
      </c>
      <c r="U196" s="14" t="n">
        <f aca="false">IF(AND($A196=$A197,ISNUMBER(N196),ISNUMBER(N197)),(N197-N196)/($C197-$C196),"")</f>
        <v>0.427604062</v>
      </c>
      <c r="V196" s="13" t="n">
        <f aca="false">IF(ISNUMBER(F196),ROUND(F196,0),"")</f>
        <v>89</v>
      </c>
      <c r="W196" s="13" t="n">
        <f aca="false">IF(ISNUMBER(J196),ROUND(J196,0),"")</f>
        <v>81</v>
      </c>
      <c r="X196" s="13" t="n">
        <f aca="false">IF(ISNUMBER(N196),ROUND(N196,0),"")</f>
        <v>95</v>
      </c>
      <c r="Y196" s="10" t="str">
        <f aca="false">IF(AND($A196=$A197,V196=100,V197=100),"full access","")</f>
        <v/>
      </c>
      <c r="Z196" s="10" t="str">
        <f aca="false">IF(AND($A196=$A197,W196=100,W197=100),"full access","")</f>
        <v/>
      </c>
      <c r="AA196" s="10" t="str">
        <f aca="false">IF(AND($A196=$A197,X196=100,X197=100),"full access","")</f>
        <v/>
      </c>
      <c r="AB196" s="14" t="n">
        <f aca="false">IF(AND(ISNUMBER(T196),ISNUMBER(U196)),T196-U196,"")</f>
        <v>0.579830176000002</v>
      </c>
    </row>
    <row r="197" customFormat="false" ht="15" hidden="false" customHeight="false" outlineLevel="0" collapsed="false">
      <c r="A197" s="10" t="s">
        <v>180</v>
      </c>
      <c r="B197" s="10" t="str">
        <f aca="false">IFERROR(INDEX('Region Lookup'!$B$2:$B$233,MATCH(A197,'Region Lookup'!$A$2:$A$233,0)),"Not found")</f>
        <v>East Asia &amp; Pacific</v>
      </c>
      <c r="C197" s="10" t="n">
        <v>2020</v>
      </c>
      <c r="D197" s="11" t="n">
        <v>273523.625</v>
      </c>
      <c r="E197" s="12" t="n">
        <v>56.64099884</v>
      </c>
      <c r="F197" s="12" t="n">
        <v>92.41534961</v>
      </c>
      <c r="G197" s="12" t="n">
        <v>0.8554746335</v>
      </c>
      <c r="H197" s="12" t="n">
        <v>5.553871666</v>
      </c>
      <c r="I197" s="12" t="n">
        <v>1.175304087</v>
      </c>
      <c r="J197" s="12" t="n">
        <v>85.66796238</v>
      </c>
      <c r="K197" s="12" t="n">
        <v>1.17809123</v>
      </c>
      <c r="L197" s="12" t="n">
        <v>10.61491462</v>
      </c>
      <c r="M197" s="12" t="n">
        <v>2.539031772</v>
      </c>
      <c r="N197" s="12" t="n">
        <v>97.58051207</v>
      </c>
      <c r="O197" s="12" t="n">
        <v>0.6085098345</v>
      </c>
      <c r="P197" s="12" t="n">
        <v>1.679615139</v>
      </c>
      <c r="Q197" s="12" t="n">
        <v>0.1313629588</v>
      </c>
      <c r="R197" s="13" t="str">
        <f aca="false">IF($A197=$A198,$C198-$C197,"")</f>
        <v/>
      </c>
      <c r="S197" s="14" t="str">
        <f aca="false">IF(AND($A197=$A198,ISNUMBER(F197),ISNUMBER(F198)),(F198-F197)/($C198-$C197),"")</f>
        <v/>
      </c>
      <c r="T197" s="14" t="str">
        <f aca="false">IF(AND($A197=$A198,ISNUMBER(J197),ISNUMBER(J198)),(J198-J197)/($C198-$C197),"")</f>
        <v/>
      </c>
      <c r="U197" s="14" t="str">
        <f aca="false">IF(AND($A197=$A198,ISNUMBER(N197),ISNUMBER(N198)),(N198-N197)/($C198-$C197),"")</f>
        <v/>
      </c>
      <c r="V197" s="13" t="n">
        <f aca="false">IF(ISNUMBER(F197),ROUND(F197,0),"")</f>
        <v>92</v>
      </c>
      <c r="W197" s="13" t="n">
        <f aca="false">IF(ISNUMBER(J197),ROUND(J197,0),"")</f>
        <v>86</v>
      </c>
      <c r="X197" s="13" t="n">
        <f aca="false">IF(ISNUMBER(N197),ROUND(N197,0),"")</f>
        <v>98</v>
      </c>
      <c r="Y197" s="10" t="str">
        <f aca="false">IF(AND($A197=$A198,V197=100,V198=100),"full access","")</f>
        <v/>
      </c>
      <c r="Z197" s="10" t="str">
        <f aca="false">IF(AND($A197=$A198,W197=100,W198=100),"full access","")</f>
        <v/>
      </c>
      <c r="AA197" s="10" t="str">
        <f aca="false">IF(AND($A197=$A198,X197=100,X198=100),"full access","")</f>
        <v/>
      </c>
      <c r="AB197" s="14" t="str">
        <f aca="false">IF(AND(ISNUMBER(T197),ISNUMBER(U197)),T197-U197,"")</f>
        <v/>
      </c>
    </row>
    <row r="198" customFormat="false" ht="15" hidden="false" customHeight="false" outlineLevel="0" collapsed="false">
      <c r="A198" s="4" t="s">
        <v>181</v>
      </c>
      <c r="B198" s="4" t="str">
        <f aca="false">IFERROR(INDEX('Region Lookup'!$B$2:$B$233,MATCH(A198,'Region Lookup'!$A$2:$A$233,0)),"Not found")</f>
        <v>South Asia</v>
      </c>
      <c r="C198" s="4" t="n">
        <v>2015</v>
      </c>
      <c r="D198" s="6" t="n">
        <v>78492.21094</v>
      </c>
      <c r="E198" s="7" t="n">
        <v>73.35800171</v>
      </c>
      <c r="F198" s="7" t="n">
        <v>96.80698708</v>
      </c>
      <c r="G198" s="7" t="n">
        <v>1.994891573</v>
      </c>
      <c r="H198" s="7" t="n">
        <v>1.126061081</v>
      </c>
      <c r="I198" s="7" t="n">
        <v>0.07206026561</v>
      </c>
      <c r="J198" s="7" t="n">
        <v>92.16250265</v>
      </c>
      <c r="K198" s="7" t="n">
        <v>4.221624781</v>
      </c>
      <c r="L198" s="7" t="n">
        <v>3.345396383</v>
      </c>
      <c r="M198" s="7" t="n">
        <v>0.2704761905</v>
      </c>
      <c r="N198" s="7" t="n">
        <v>98.49376087</v>
      </c>
      <c r="O198" s="7" t="n">
        <v>1.186191432</v>
      </c>
      <c r="P198" s="7" t="n">
        <v>0.3200476961</v>
      </c>
      <c r="Q198" s="7" t="n">
        <v>0</v>
      </c>
      <c r="R198" s="8" t="n">
        <f aca="false">IF($A198=$A199,$C199-$C198,"")</f>
        <v>5</v>
      </c>
      <c r="S198" s="9" t="n">
        <f aca="false">IF(AND($A198=$A199,ISNUMBER(F198),ISNUMBER(F199)),(F199-F198)/($C199-$C198),"")</f>
        <v>0.135129850000001</v>
      </c>
      <c r="T198" s="9" t="n">
        <f aca="false">IF(AND($A198=$A199,ISNUMBER(J198),ISNUMBER(J199)),(J199-J198)/($C199-$C198),"")</f>
        <v>0.333246546000001</v>
      </c>
      <c r="U198" s="9" t="n">
        <f aca="false">IF(AND($A198=$A199,ISNUMBER(N198),ISNUMBER(N199)),(N199-N198)/($C199-$C198),"")</f>
        <v>0.0301451700000001</v>
      </c>
      <c r="V198" s="8" t="n">
        <f aca="false">IF(ISNUMBER(F198),ROUND(F198,0),"")</f>
        <v>97</v>
      </c>
      <c r="W198" s="8" t="n">
        <f aca="false">IF(ISNUMBER(J198),ROUND(J198,0),"")</f>
        <v>92</v>
      </c>
      <c r="X198" s="8" t="n">
        <f aca="false">IF(ISNUMBER(N198),ROUND(N198,0),"")</f>
        <v>98</v>
      </c>
      <c r="Y198" s="4" t="str">
        <f aca="false">IF(AND($A198=$A199,V198=100,V199=100),"full access","")</f>
        <v/>
      </c>
      <c r="Z198" s="4" t="str">
        <f aca="false">IF(AND($A198=$A199,W198=100,W199=100),"full access","")</f>
        <v/>
      </c>
      <c r="AA198" s="4" t="str">
        <f aca="false">IF(AND($A198=$A199,X198=100,X199=100),"full access","")</f>
        <v/>
      </c>
      <c r="AB198" s="9" t="n">
        <f aca="false">IF(AND(ISNUMBER(T198),ISNUMBER(U198)),T198-U198,"")</f>
        <v>0.303101376000001</v>
      </c>
    </row>
    <row r="199" customFormat="false" ht="15" hidden="false" customHeight="false" outlineLevel="0" collapsed="false">
      <c r="A199" s="4" t="s">
        <v>181</v>
      </c>
      <c r="B199" s="4" t="str">
        <f aca="false">IFERROR(INDEX('Region Lookup'!$B$2:$B$233,MATCH(A199,'Region Lookup'!$A$2:$A$233,0)),"Not found")</f>
        <v>South Asia</v>
      </c>
      <c r="C199" s="4" t="n">
        <v>2020</v>
      </c>
      <c r="D199" s="6" t="n">
        <v>83992.95313</v>
      </c>
      <c r="E199" s="7" t="n">
        <v>75.87400055</v>
      </c>
      <c r="F199" s="7" t="n">
        <v>97.48263633</v>
      </c>
      <c r="G199" s="7" t="n">
        <v>1.938311229</v>
      </c>
      <c r="H199" s="7" t="n">
        <v>0.5137973631</v>
      </c>
      <c r="I199" s="7" t="n">
        <v>0.06525508185</v>
      </c>
      <c r="J199" s="7" t="n">
        <v>93.82873538</v>
      </c>
      <c r="K199" s="7" t="n">
        <v>4.297948765</v>
      </c>
      <c r="L199" s="7" t="n">
        <v>1.602839669</v>
      </c>
      <c r="M199" s="7" t="n">
        <v>0.2704761905</v>
      </c>
      <c r="N199" s="7" t="n">
        <v>98.64448672</v>
      </c>
      <c r="O199" s="7" t="n">
        <v>1.188006671</v>
      </c>
      <c r="P199" s="7" t="n">
        <v>0.1675066077</v>
      </c>
      <c r="Q199" s="7" t="n">
        <v>0</v>
      </c>
      <c r="R199" s="8" t="str">
        <f aca="false">IF($A199=$A200,$C200-$C199,"")</f>
        <v/>
      </c>
      <c r="S199" s="9" t="str">
        <f aca="false">IF(AND($A199=$A200,ISNUMBER(F199),ISNUMBER(F200)),(F200-F199)/($C200-$C199),"")</f>
        <v/>
      </c>
      <c r="T199" s="9" t="str">
        <f aca="false">IF(AND($A199=$A200,ISNUMBER(J199),ISNUMBER(J200)),(J200-J199)/($C200-$C199),"")</f>
        <v/>
      </c>
      <c r="U199" s="9" t="str">
        <f aca="false">IF(AND($A199=$A200,ISNUMBER(N199),ISNUMBER(N200)),(N200-N199)/($C200-$C199),"")</f>
        <v/>
      </c>
      <c r="V199" s="8" t="n">
        <f aca="false">IF(ISNUMBER(F199),ROUND(F199,0),"")</f>
        <v>97</v>
      </c>
      <c r="W199" s="8" t="n">
        <f aca="false">IF(ISNUMBER(J199),ROUND(J199,0),"")</f>
        <v>94</v>
      </c>
      <c r="X199" s="8" t="n">
        <f aca="false">IF(ISNUMBER(N199),ROUND(N199,0),"")</f>
        <v>99</v>
      </c>
      <c r="Y199" s="4" t="str">
        <f aca="false">IF(AND($A199=$A200,V199=100,V200=100),"full access","")</f>
        <v/>
      </c>
      <c r="Z199" s="4" t="str">
        <f aca="false">IF(AND($A199=$A200,W199=100,W200=100),"full access","")</f>
        <v/>
      </c>
      <c r="AA199" s="4" t="str">
        <f aca="false">IF(AND($A199=$A200,X199=100,X200=100),"full access","")</f>
        <v/>
      </c>
      <c r="AB199" s="9" t="str">
        <f aca="false">IF(AND(ISNUMBER(T199),ISNUMBER(U199)),T199-U199,"")</f>
        <v/>
      </c>
    </row>
    <row r="200" customFormat="false" ht="15" hidden="false" customHeight="false" outlineLevel="0" collapsed="false">
      <c r="A200" s="10" t="s">
        <v>182</v>
      </c>
      <c r="B200" s="10" t="str">
        <f aca="false">IFERROR(INDEX('Region Lookup'!$B$2:$B$233,MATCH(A200,'Region Lookup'!$A$2:$A$233,0)),"Not found")</f>
        <v>Middle East &amp; North Africa</v>
      </c>
      <c r="C200" s="10" t="n">
        <v>2015</v>
      </c>
      <c r="D200" s="11" t="n">
        <v>35572.26953</v>
      </c>
      <c r="E200" s="12" t="n">
        <v>69.92099762</v>
      </c>
      <c r="F200" s="12" t="n">
        <v>94.2475933</v>
      </c>
      <c r="G200" s="12" t="n">
        <v>1.056676215</v>
      </c>
      <c r="H200" s="12" t="n">
        <v>1.737911036</v>
      </c>
      <c r="I200" s="12" t="n">
        <v>2.95781945</v>
      </c>
      <c r="J200" s="12" t="n">
        <v>84.76271011</v>
      </c>
      <c r="K200" s="12" t="n">
        <v>2.830616935</v>
      </c>
      <c r="L200" s="12" t="n">
        <v>2.77640479</v>
      </c>
      <c r="M200" s="12" t="n">
        <v>9.630268161</v>
      </c>
      <c r="N200" s="12" t="n">
        <v>98.3278526</v>
      </c>
      <c r="O200" s="12" t="n">
        <v>0.2935526231</v>
      </c>
      <c r="P200" s="12" t="n">
        <v>1.291166071</v>
      </c>
      <c r="Q200" s="12" t="n">
        <v>0.0874287017</v>
      </c>
      <c r="R200" s="13" t="n">
        <f aca="false">IF($A200=$A201,$C201-$C200,"")</f>
        <v>5</v>
      </c>
      <c r="S200" s="14" t="n">
        <f aca="false">IF(AND($A200=$A201,ISNUMBER(F200),ISNUMBER(F201)),(F201-F200)/($C201-$C200),"")</f>
        <v>0.822461989999999</v>
      </c>
      <c r="T200" s="14" t="n">
        <f aca="false">IF(AND($A200=$A201,ISNUMBER(J200),ISNUMBER(J201)),(J201-J200)/($C201-$C200),"")</f>
        <v>2.013687334</v>
      </c>
      <c r="U200" s="14" t="n">
        <f aca="false">IF(AND($A200=$A201,ISNUMBER(N200),ISNUMBER(N201)),(N201-N200)/($C201-$C200),"")</f>
        <v>0.296175686000001</v>
      </c>
      <c r="V200" s="13" t="n">
        <f aca="false">IF(ISNUMBER(F200),ROUND(F200,0),"")</f>
        <v>94</v>
      </c>
      <c r="W200" s="13" t="n">
        <f aca="false">IF(ISNUMBER(J200),ROUND(J200,0),"")</f>
        <v>85</v>
      </c>
      <c r="X200" s="13" t="n">
        <f aca="false">IF(ISNUMBER(N200),ROUND(N200,0),"")</f>
        <v>98</v>
      </c>
      <c r="Y200" s="10" t="str">
        <f aca="false">IF(AND($A200=$A201,V200=100,V201=100),"full access","")</f>
        <v/>
      </c>
      <c r="Z200" s="10" t="str">
        <f aca="false">IF(AND($A200=$A201,W200=100,W201=100),"full access","")</f>
        <v/>
      </c>
      <c r="AA200" s="10" t="str">
        <f aca="false">IF(AND($A200=$A201,X200=100,X201=100),"full access","")</f>
        <v/>
      </c>
      <c r="AB200" s="14" t="n">
        <f aca="false">IF(AND(ISNUMBER(T200),ISNUMBER(U200)),T200-U200,"")</f>
        <v>1.717511648</v>
      </c>
    </row>
    <row r="201" customFormat="false" ht="15" hidden="false" customHeight="false" outlineLevel="0" collapsed="false">
      <c r="A201" s="10" t="s">
        <v>182</v>
      </c>
      <c r="B201" s="10" t="str">
        <f aca="false">IFERROR(INDEX('Region Lookup'!$B$2:$B$233,MATCH(A201,'Region Lookup'!$A$2:$A$233,0)),"Not found")</f>
        <v>Middle East &amp; North Africa</v>
      </c>
      <c r="C201" s="10" t="n">
        <v>2020</v>
      </c>
      <c r="D201" s="11" t="n">
        <v>40222.50391</v>
      </c>
      <c r="E201" s="12" t="n">
        <v>70.89299774</v>
      </c>
      <c r="F201" s="12" t="n">
        <v>98.35990325</v>
      </c>
      <c r="G201" s="12" t="n">
        <v>0.8921603495</v>
      </c>
      <c r="H201" s="12" t="n">
        <v>2.427900808E-006</v>
      </c>
      <c r="I201" s="12" t="n">
        <v>0.7479339713</v>
      </c>
      <c r="J201" s="12" t="n">
        <v>94.83114678</v>
      </c>
      <c r="K201" s="12" t="n">
        <v>2.599251339</v>
      </c>
      <c r="L201" s="12" t="n">
        <v>0</v>
      </c>
      <c r="M201" s="12" t="n">
        <v>2.569601877</v>
      </c>
      <c r="N201" s="12" t="n">
        <v>99.80873103</v>
      </c>
      <c r="O201" s="12" t="n">
        <v>0.19126897</v>
      </c>
      <c r="P201" s="12" t="n">
        <v>0</v>
      </c>
      <c r="Q201" s="12" t="n">
        <v>0</v>
      </c>
      <c r="R201" s="13" t="str">
        <f aca="false">IF($A201=$A202,$C202-$C201,"")</f>
        <v/>
      </c>
      <c r="S201" s="14" t="str">
        <f aca="false">IF(AND($A201=$A202,ISNUMBER(F201),ISNUMBER(F202)),(F202-F201)/($C202-$C201),"")</f>
        <v/>
      </c>
      <c r="T201" s="14" t="str">
        <f aca="false">IF(AND($A201=$A202,ISNUMBER(J201),ISNUMBER(J202)),(J202-J201)/($C202-$C201),"")</f>
        <v/>
      </c>
      <c r="U201" s="14" t="str">
        <f aca="false">IF(AND($A201=$A202,ISNUMBER(N201),ISNUMBER(N202)),(N202-N201)/($C202-$C201),"")</f>
        <v/>
      </c>
      <c r="V201" s="13" t="n">
        <f aca="false">IF(ISNUMBER(F201),ROUND(F201,0),"")</f>
        <v>98</v>
      </c>
      <c r="W201" s="13" t="n">
        <f aca="false">IF(ISNUMBER(J201),ROUND(J201,0),"")</f>
        <v>95</v>
      </c>
      <c r="X201" s="13" t="n">
        <f aca="false">IF(ISNUMBER(N201),ROUND(N201,0),"")</f>
        <v>100</v>
      </c>
      <c r="Y201" s="10" t="str">
        <f aca="false">IF(AND($A201=$A202,V201=100,V202=100),"full access","")</f>
        <v/>
      </c>
      <c r="Z201" s="10" t="str">
        <f aca="false">IF(AND($A201=$A202,W201=100,W202=100),"full access","")</f>
        <v/>
      </c>
      <c r="AA201" s="10" t="str">
        <f aca="false">IF(AND($A201=$A202,X201=100,X202=100),"full access","")</f>
        <v/>
      </c>
      <c r="AB201" s="14" t="str">
        <f aca="false">IF(AND(ISNUMBER(T201),ISNUMBER(U201)),T201-U201,"")</f>
        <v/>
      </c>
    </row>
    <row r="202" customFormat="false" ht="15" hidden="false" customHeight="false" outlineLevel="0" collapsed="false">
      <c r="A202" s="4" t="s">
        <v>183</v>
      </c>
      <c r="B202" s="4" t="str">
        <f aca="false">IFERROR(INDEX('Region Lookup'!$B$2:$B$233,MATCH(A202,'Region Lookup'!$A$2:$A$233,0)),"Not found")</f>
        <v>Europe &amp; Central Asia</v>
      </c>
      <c r="C202" s="4" t="n">
        <v>2015</v>
      </c>
      <c r="D202" s="6" t="n">
        <v>4652.419922</v>
      </c>
      <c r="E202" s="7" t="n">
        <v>62.5379982</v>
      </c>
      <c r="F202" s="7" t="n">
        <v>97.37212799</v>
      </c>
      <c r="G202" s="7" t="n">
        <v>0</v>
      </c>
      <c r="H202" s="7" t="n">
        <v>2.627872008</v>
      </c>
      <c r="I202" s="7" t="n">
        <v>0</v>
      </c>
      <c r="J202" s="7" t="n">
        <v>98.01681619</v>
      </c>
      <c r="K202" s="7" t="n">
        <v>0</v>
      </c>
      <c r="L202" s="7" t="n">
        <v>1.983183812</v>
      </c>
      <c r="M202" s="7" t="n">
        <v>0</v>
      </c>
      <c r="N202" s="7" t="n">
        <v>96.98594181</v>
      </c>
      <c r="O202" s="7" t="n">
        <v>0</v>
      </c>
      <c r="P202" s="7" t="n">
        <v>3.014058189</v>
      </c>
      <c r="Q202" s="7" t="n">
        <v>0</v>
      </c>
      <c r="R202" s="8" t="n">
        <f aca="false">IF($A202=$A203,$C203-$C202,"")</f>
        <v>5</v>
      </c>
      <c r="S202" s="9" t="n">
        <f aca="false">IF(AND($A202=$A203,ISNUMBER(F202),ISNUMBER(F203)),(F203-F202)/($C203-$C202),"")</f>
        <v>0.00551570400000117</v>
      </c>
      <c r="T202" s="9" t="n">
        <f aca="false">IF(AND($A202=$A203,ISNUMBER(J202),ISNUMBER(J203)),(J203-J202)/($C203-$C202),"")</f>
        <v>0.0236209120000012</v>
      </c>
      <c r="U202" s="9" t="n">
        <f aca="false">IF(AND($A202=$A203,ISNUMBER(N202),ISNUMBER(N203)),(N203-N202)/($C203-$C202),"")</f>
        <v>-0.00121115599999939</v>
      </c>
      <c r="V202" s="8" t="n">
        <f aca="false">IF(ISNUMBER(F202),ROUND(F202,0),"")</f>
        <v>97</v>
      </c>
      <c r="W202" s="8" t="n">
        <f aca="false">IF(ISNUMBER(J202),ROUND(J202,0),"")</f>
        <v>98</v>
      </c>
      <c r="X202" s="8" t="n">
        <f aca="false">IF(ISNUMBER(N202),ROUND(N202,0),"")</f>
        <v>97</v>
      </c>
      <c r="Y202" s="4" t="str">
        <f aca="false">IF(AND($A202=$A203,V202=100,V203=100),"full access","")</f>
        <v/>
      </c>
      <c r="Z202" s="4" t="str">
        <f aca="false">IF(AND($A202=$A203,W202=100,W203=100),"full access","")</f>
        <v/>
      </c>
      <c r="AA202" s="4" t="str">
        <f aca="false">IF(AND($A202=$A203,X202=100,X203=100),"full access","")</f>
        <v/>
      </c>
      <c r="AB202" s="9" t="n">
        <f aca="false">IF(AND(ISNUMBER(T202),ISNUMBER(U202)),T202-U202,"")</f>
        <v>0.0248320680000006</v>
      </c>
    </row>
    <row r="203" customFormat="false" ht="15" hidden="false" customHeight="false" outlineLevel="0" collapsed="false">
      <c r="A203" s="4" t="s">
        <v>183</v>
      </c>
      <c r="B203" s="4" t="str">
        <f aca="false">IFERROR(INDEX('Region Lookup'!$B$2:$B$233,MATCH(A203,'Region Lookup'!$A$2:$A$233,0)),"Not found")</f>
        <v>Europe &amp; Central Asia</v>
      </c>
      <c r="C203" s="4" t="n">
        <v>2020</v>
      </c>
      <c r="D203" s="6" t="n">
        <v>4937.795898</v>
      </c>
      <c r="E203" s="7" t="n">
        <v>63.65299988</v>
      </c>
      <c r="F203" s="7" t="n">
        <v>97.39970651</v>
      </c>
      <c r="G203" s="7" t="n">
        <v>0</v>
      </c>
      <c r="H203" s="7" t="n">
        <v>2.600293485</v>
      </c>
      <c r="I203" s="7" t="n">
        <v>0</v>
      </c>
      <c r="J203" s="7" t="n">
        <v>98.13492075</v>
      </c>
      <c r="K203" s="7" t="n">
        <v>0</v>
      </c>
      <c r="L203" s="7" t="n">
        <v>1.865079247</v>
      </c>
      <c r="M203" s="7" t="n">
        <v>0</v>
      </c>
      <c r="N203" s="7" t="n">
        <v>96.97988603</v>
      </c>
      <c r="O203" s="7" t="n">
        <v>0</v>
      </c>
      <c r="P203" s="7" t="n">
        <v>3.020113966</v>
      </c>
      <c r="Q203" s="7" t="n">
        <v>0</v>
      </c>
      <c r="R203" s="8" t="str">
        <f aca="false">IF($A203=$A204,$C204-$C203,"")</f>
        <v/>
      </c>
      <c r="S203" s="9" t="str">
        <f aca="false">IF(AND($A203=$A204,ISNUMBER(F203),ISNUMBER(F204)),(F204-F203)/($C204-$C203),"")</f>
        <v/>
      </c>
      <c r="T203" s="9" t="str">
        <f aca="false">IF(AND($A203=$A204,ISNUMBER(J203),ISNUMBER(J204)),(J204-J203)/($C204-$C203),"")</f>
        <v/>
      </c>
      <c r="U203" s="9" t="str">
        <f aca="false">IF(AND($A203=$A204,ISNUMBER(N203),ISNUMBER(N204)),(N204-N203)/($C204-$C203),"")</f>
        <v/>
      </c>
      <c r="V203" s="8" t="n">
        <f aca="false">IF(ISNUMBER(F203),ROUND(F203,0),"")</f>
        <v>97</v>
      </c>
      <c r="W203" s="8" t="n">
        <f aca="false">IF(ISNUMBER(J203),ROUND(J203,0),"")</f>
        <v>98</v>
      </c>
      <c r="X203" s="8" t="n">
        <f aca="false">IF(ISNUMBER(N203),ROUND(N203,0),"")</f>
        <v>97</v>
      </c>
      <c r="Y203" s="4" t="str">
        <f aca="false">IF(AND($A203=$A204,V203=100,V204=100),"full access","")</f>
        <v/>
      </c>
      <c r="Z203" s="4" t="str">
        <f aca="false">IF(AND($A203=$A204,W203=100,W204=100),"full access","")</f>
        <v/>
      </c>
      <c r="AA203" s="4" t="str">
        <f aca="false">IF(AND($A203=$A204,X203=100,X204=100),"full access","")</f>
        <v/>
      </c>
      <c r="AB203" s="9" t="str">
        <f aca="false">IF(AND(ISNUMBER(T203),ISNUMBER(U203)),T203-U203,"")</f>
        <v/>
      </c>
    </row>
    <row r="204" customFormat="false" ht="15" hidden="false" customHeight="false" outlineLevel="0" collapsed="false">
      <c r="A204" s="10" t="s">
        <v>184</v>
      </c>
      <c r="B204" s="10" t="str">
        <f aca="false">IFERROR(INDEX('Region Lookup'!$B$2:$B$233,MATCH(A204,'Region Lookup'!$A$2:$A$233,0)),"Not found")</f>
        <v>Europe &amp; Central Asia</v>
      </c>
      <c r="C204" s="10" t="n">
        <v>2015</v>
      </c>
      <c r="D204" s="11" t="n">
        <v>83.23200226</v>
      </c>
      <c r="E204" s="12" t="n">
        <v>52.24499893</v>
      </c>
      <c r="F204" s="12" t="n">
        <v>99.075</v>
      </c>
      <c r="G204" s="12" t="n">
        <v>0</v>
      </c>
      <c r="H204" s="12" t="n">
        <v>0.925</v>
      </c>
      <c r="I204" s="12" t="n">
        <v>0</v>
      </c>
      <c r="J204" s="12"/>
      <c r="K204" s="12"/>
      <c r="L204" s="12"/>
      <c r="M204" s="12"/>
      <c r="N204" s="12"/>
      <c r="O204" s="12"/>
      <c r="P204" s="12"/>
      <c r="Q204" s="12"/>
      <c r="R204" s="13" t="n">
        <f aca="false">IF($A204=$A205,$C205-$C204,"")</f>
        <v>5</v>
      </c>
      <c r="S204" s="14" t="n">
        <f aca="false">IF(AND($A204=$A205,ISNUMBER(F204),ISNUMBER(F205)),(F205-F204)/($C205-$C204),"")</f>
        <v>0</v>
      </c>
      <c r="T204" s="14" t="str">
        <f aca="false">IF(AND($A204=$A205,ISNUMBER(J204),ISNUMBER(J205)),(J205-J204)/($C205-$C204),"")</f>
        <v/>
      </c>
      <c r="U204" s="14" t="str">
        <f aca="false">IF(AND($A204=$A205,ISNUMBER(N204),ISNUMBER(N205)),(N205-N204)/($C205-$C204),"")</f>
        <v/>
      </c>
      <c r="V204" s="13" t="n">
        <f aca="false">IF(ISNUMBER(F204),ROUND(F204,0),"")</f>
        <v>99</v>
      </c>
      <c r="W204" s="13" t="str">
        <f aca="false">IF(ISNUMBER(J204),ROUND(J204,0),"")</f>
        <v/>
      </c>
      <c r="X204" s="13" t="str">
        <f aca="false">IF(ISNUMBER(N204),ROUND(N204,0),"")</f>
        <v/>
      </c>
      <c r="Y204" s="10" t="str">
        <f aca="false">IF(AND($A204=$A205,V204=100,V205=100),"full access","")</f>
        <v/>
      </c>
      <c r="Z204" s="10" t="str">
        <f aca="false">IF(AND($A204=$A205,W204=100,W205=100),"full access","")</f>
        <v/>
      </c>
      <c r="AA204" s="10" t="str">
        <f aca="false">IF(AND($A204=$A205,X204=100,X205=100),"full access","")</f>
        <v/>
      </c>
      <c r="AB204" s="14" t="str">
        <f aca="false">IF(AND(ISNUMBER(T204),ISNUMBER(U204)),T204-U204,"")</f>
        <v/>
      </c>
    </row>
    <row r="205" customFormat="false" ht="15" hidden="false" customHeight="false" outlineLevel="0" collapsed="false">
      <c r="A205" s="10" t="s">
        <v>184</v>
      </c>
      <c r="B205" s="10" t="str">
        <f aca="false">IFERROR(INDEX('Region Lookup'!$B$2:$B$233,MATCH(A205,'Region Lookup'!$A$2:$A$233,0)),"Not found")</f>
        <v>Europe &amp; Central Asia</v>
      </c>
      <c r="C205" s="10" t="n">
        <v>2020</v>
      </c>
      <c r="D205" s="11" t="n">
        <v>85.03199768</v>
      </c>
      <c r="E205" s="12" t="n">
        <v>52.89800262</v>
      </c>
      <c r="F205" s="12" t="n">
        <v>99.075</v>
      </c>
      <c r="G205" s="12" t="n">
        <v>0</v>
      </c>
      <c r="H205" s="12" t="n">
        <v>0.925</v>
      </c>
      <c r="I205" s="12" t="n">
        <v>0</v>
      </c>
      <c r="J205" s="12"/>
      <c r="K205" s="12"/>
      <c r="L205" s="12"/>
      <c r="M205" s="12"/>
      <c r="N205" s="12"/>
      <c r="O205" s="12"/>
      <c r="P205" s="12"/>
      <c r="Q205" s="12"/>
      <c r="R205" s="13" t="str">
        <f aca="false">IF($A205=$A206,$C206-$C205,"")</f>
        <v/>
      </c>
      <c r="S205" s="14" t="str">
        <f aca="false">IF(AND($A205=$A206,ISNUMBER(F205),ISNUMBER(F206)),(F206-F205)/($C206-$C205),"")</f>
        <v/>
      </c>
      <c r="T205" s="14" t="str">
        <f aca="false">IF(AND($A205=$A206,ISNUMBER(J205),ISNUMBER(J206)),(J206-J205)/($C206-$C205),"")</f>
        <v/>
      </c>
      <c r="U205" s="14" t="str">
        <f aca="false">IF(AND($A205=$A206,ISNUMBER(N205),ISNUMBER(N206)),(N206-N205)/($C206-$C205),"")</f>
        <v/>
      </c>
      <c r="V205" s="13" t="n">
        <f aca="false">IF(ISNUMBER(F205),ROUND(F205,0),"")</f>
        <v>99</v>
      </c>
      <c r="W205" s="13" t="str">
        <f aca="false">IF(ISNUMBER(J205),ROUND(J205,0),"")</f>
        <v/>
      </c>
      <c r="X205" s="13" t="str">
        <f aca="false">IF(ISNUMBER(N205),ROUND(N205,0),"")</f>
        <v/>
      </c>
      <c r="Y205" s="10" t="str">
        <f aca="false">IF(AND($A205=$A206,V205=100,V206=100),"full access","")</f>
        <v/>
      </c>
      <c r="Z205" s="10" t="str">
        <f aca="false">IF(AND($A205=$A206,W205=100,W206=100),"full access","")</f>
        <v/>
      </c>
      <c r="AA205" s="10" t="str">
        <f aca="false">IF(AND($A205=$A206,X205=100,X206=100),"full access","")</f>
        <v/>
      </c>
      <c r="AB205" s="14" t="str">
        <f aca="false">IF(AND(ISNUMBER(T205),ISNUMBER(U205)),T205-U205,"")</f>
        <v/>
      </c>
    </row>
    <row r="206" customFormat="false" ht="15" hidden="false" customHeight="false" outlineLevel="0" collapsed="false">
      <c r="A206" s="4" t="s">
        <v>185</v>
      </c>
      <c r="B206" s="4" t="str">
        <f aca="false">IFERROR(INDEX('Region Lookup'!$B$2:$B$233,MATCH(A206,'Region Lookup'!$A$2:$A$233,0)),"Not found")</f>
        <v>Europe &amp; Central Asia</v>
      </c>
      <c r="C206" s="4" t="n">
        <v>2015</v>
      </c>
      <c r="D206" s="6" t="n">
        <v>7978.496094</v>
      </c>
      <c r="E206" s="7" t="n">
        <v>92.17900085</v>
      </c>
      <c r="F206" s="7" t="n">
        <v>100.0000015</v>
      </c>
      <c r="G206" s="7" t="n">
        <v>0</v>
      </c>
      <c r="H206" s="7" t="n">
        <v>0</v>
      </c>
      <c r="I206" s="7" t="n">
        <v>0</v>
      </c>
      <c r="J206" s="7" t="n">
        <v>100</v>
      </c>
      <c r="K206" s="7" t="n">
        <v>0</v>
      </c>
      <c r="L206" s="7" t="n">
        <v>0</v>
      </c>
      <c r="M206" s="7" t="n">
        <v>0</v>
      </c>
      <c r="N206" s="7" t="n">
        <v>100</v>
      </c>
      <c r="O206" s="7" t="n">
        <v>0</v>
      </c>
      <c r="P206" s="7" t="n">
        <v>0</v>
      </c>
      <c r="Q206" s="7" t="n">
        <v>0</v>
      </c>
      <c r="R206" s="8" t="n">
        <f aca="false">IF($A206=$A207,$C207-$C206,"")</f>
        <v>5</v>
      </c>
      <c r="S206" s="9" t="n">
        <f aca="false">IF(AND($A206=$A207,ISNUMBER(F206),ISNUMBER(F207)),(F207-F206)/($C207-$C206),"")</f>
        <v>-2.99999999242573E-007</v>
      </c>
      <c r="T206" s="9" t="n">
        <f aca="false">IF(AND($A206=$A207,ISNUMBER(J206),ISNUMBER(J207)),(J207-J206)/($C207-$C206),"")</f>
        <v>0</v>
      </c>
      <c r="U206" s="9" t="n">
        <f aca="false">IF(AND($A206=$A207,ISNUMBER(N206),ISNUMBER(N207)),(N207-N206)/($C207-$C206),"")</f>
        <v>0</v>
      </c>
      <c r="V206" s="8" t="n">
        <f aca="false">IF(ISNUMBER(F206),ROUND(F206,0),"")</f>
        <v>100</v>
      </c>
      <c r="W206" s="8" t="n">
        <f aca="false">IF(ISNUMBER(J206),ROUND(J206,0),"")</f>
        <v>100</v>
      </c>
      <c r="X206" s="8" t="n">
        <f aca="false">IF(ISNUMBER(N206),ROUND(N206,0),"")</f>
        <v>100</v>
      </c>
      <c r="Y206" s="4" t="str">
        <f aca="false">IF(AND($A206=$A207,V206=100,V207=100),"full access","")</f>
        <v>full access</v>
      </c>
      <c r="Z206" s="4" t="str">
        <f aca="false">IF(AND($A206=$A207,W206=100,W207=100),"full access","")</f>
        <v>full access</v>
      </c>
      <c r="AA206" s="4" t="str">
        <f aca="false">IF(AND($A206=$A207,X206=100,X207=100),"full access","")</f>
        <v>full access</v>
      </c>
      <c r="AB206" s="9" t="n">
        <f aca="false">IF(AND(ISNUMBER(T206),ISNUMBER(U206)),T206-U206,"")</f>
        <v>0</v>
      </c>
    </row>
    <row r="207" customFormat="false" ht="15" hidden="false" customHeight="false" outlineLevel="0" collapsed="false">
      <c r="A207" s="4" t="s">
        <v>185</v>
      </c>
      <c r="B207" s="4" t="str">
        <f aca="false">IFERROR(INDEX('Region Lookup'!$B$2:$B$233,MATCH(A207,'Region Lookup'!$A$2:$A$233,0)),"Not found")</f>
        <v>Europe &amp; Central Asia</v>
      </c>
      <c r="C207" s="4" t="n">
        <v>2020</v>
      </c>
      <c r="D207" s="6" t="n">
        <v>8655.541016</v>
      </c>
      <c r="E207" s="7" t="n">
        <v>92.58699799</v>
      </c>
      <c r="F207" s="7" t="n">
        <v>100</v>
      </c>
      <c r="G207" s="7" t="n">
        <v>0</v>
      </c>
      <c r="H207" s="7" t="n">
        <v>0</v>
      </c>
      <c r="I207" s="7" t="n">
        <v>0</v>
      </c>
      <c r="J207" s="7" t="n">
        <v>100</v>
      </c>
      <c r="K207" s="7" t="n">
        <v>0</v>
      </c>
      <c r="L207" s="7" t="n">
        <v>0</v>
      </c>
      <c r="M207" s="7" t="n">
        <v>0</v>
      </c>
      <c r="N207" s="7" t="n">
        <v>100</v>
      </c>
      <c r="O207" s="7" t="n">
        <v>0</v>
      </c>
      <c r="P207" s="7" t="n">
        <v>0</v>
      </c>
      <c r="Q207" s="7" t="n">
        <v>0</v>
      </c>
      <c r="R207" s="8" t="str">
        <f aca="false">IF($A207=$A208,$C208-$C207,"")</f>
        <v/>
      </c>
      <c r="S207" s="9" t="str">
        <f aca="false">IF(AND($A207=$A208,ISNUMBER(F207),ISNUMBER(F208)),(F208-F207)/($C208-$C207),"")</f>
        <v/>
      </c>
      <c r="T207" s="9" t="str">
        <f aca="false">IF(AND($A207=$A208,ISNUMBER(J207),ISNUMBER(J208)),(J208-J207)/($C208-$C207),"")</f>
        <v/>
      </c>
      <c r="U207" s="9" t="str">
        <f aca="false">IF(AND($A207=$A208,ISNUMBER(N207),ISNUMBER(N208)),(N208-N207)/($C208-$C207),"")</f>
        <v/>
      </c>
      <c r="V207" s="8" t="n">
        <f aca="false">IF(ISNUMBER(F207),ROUND(F207,0),"")</f>
        <v>100</v>
      </c>
      <c r="W207" s="8" t="n">
        <f aca="false">IF(ISNUMBER(J207),ROUND(J207,0),"")</f>
        <v>100</v>
      </c>
      <c r="X207" s="8" t="n">
        <f aca="false">IF(ISNUMBER(N207),ROUND(N207,0),"")</f>
        <v>100</v>
      </c>
      <c r="Y207" s="4" t="str">
        <f aca="false">IF(AND($A207=$A208,V207=100,V208=100),"full access","")</f>
        <v/>
      </c>
      <c r="Z207" s="4" t="str">
        <f aca="false">IF(AND($A207=$A208,W207=100,W208=100),"full access","")</f>
        <v/>
      </c>
      <c r="AA207" s="4" t="str">
        <f aca="false">IF(AND($A207=$A208,X207=100,X208=100),"full access","")</f>
        <v/>
      </c>
      <c r="AB207" s="9" t="str">
        <f aca="false">IF(AND(ISNUMBER(T207),ISNUMBER(U207)),T207-U207,"")</f>
        <v/>
      </c>
    </row>
    <row r="208" customFormat="false" ht="15" hidden="false" customHeight="false" outlineLevel="0" collapsed="false">
      <c r="A208" s="10" t="s">
        <v>186</v>
      </c>
      <c r="B208" s="10" t="str">
        <f aca="false">IFERROR(INDEX('Region Lookup'!$B$2:$B$233,MATCH(A208,'Region Lookup'!$A$2:$A$233,0)),"Not found")</f>
        <v>Europe &amp; Central Asia</v>
      </c>
      <c r="C208" s="10" t="n">
        <v>2015</v>
      </c>
      <c r="D208" s="11" t="n">
        <v>60578.48828</v>
      </c>
      <c r="E208" s="12" t="n">
        <v>69.56500244</v>
      </c>
      <c r="F208" s="12" t="n">
        <v>99.91703407</v>
      </c>
      <c r="G208" s="12" t="n">
        <v>0</v>
      </c>
      <c r="H208" s="12" t="n">
        <v>0.08296592591</v>
      </c>
      <c r="I208" s="12" t="n">
        <v>0</v>
      </c>
      <c r="J208" s="12"/>
      <c r="K208" s="12"/>
      <c r="L208" s="12"/>
      <c r="M208" s="12"/>
      <c r="N208" s="12"/>
      <c r="O208" s="12"/>
      <c r="P208" s="12"/>
      <c r="Q208" s="12"/>
      <c r="R208" s="13" t="n">
        <f aca="false">IF($A208=$A209,$C209-$C208,"")</f>
        <v>5</v>
      </c>
      <c r="S208" s="14" t="n">
        <f aca="false">IF(AND($A208=$A209,ISNUMBER(F208),ISNUMBER(F209)),(F209-F208)/($C209-$C208),"")</f>
        <v>0</v>
      </c>
      <c r="T208" s="14" t="str">
        <f aca="false">IF(AND($A208=$A209,ISNUMBER(J208),ISNUMBER(J209)),(J209-J208)/($C209-$C208),"")</f>
        <v/>
      </c>
      <c r="U208" s="14" t="str">
        <f aca="false">IF(AND($A208=$A209,ISNUMBER(N208),ISNUMBER(N209)),(N209-N208)/($C209-$C208),"")</f>
        <v/>
      </c>
      <c r="V208" s="13" t="n">
        <f aca="false">IF(ISNUMBER(F208),ROUND(F208,0),"")</f>
        <v>100</v>
      </c>
      <c r="W208" s="13" t="str">
        <f aca="false">IF(ISNUMBER(J208),ROUND(J208,0),"")</f>
        <v/>
      </c>
      <c r="X208" s="13" t="str">
        <f aca="false">IF(ISNUMBER(N208),ROUND(N208,0),"")</f>
        <v/>
      </c>
      <c r="Y208" s="10" t="str">
        <f aca="false">IF(AND($A208=$A209,V208=100,V209=100),"full access","")</f>
        <v>full access</v>
      </c>
      <c r="Z208" s="10" t="str">
        <f aca="false">IF(AND($A208=$A209,W208=100,W209=100),"full access","")</f>
        <v/>
      </c>
      <c r="AA208" s="10" t="str">
        <f aca="false">IF(AND($A208=$A209,X208=100,X209=100),"full access","")</f>
        <v/>
      </c>
      <c r="AB208" s="14" t="str">
        <f aca="false">IF(AND(ISNUMBER(T208),ISNUMBER(U208)),T208-U208,"")</f>
        <v/>
      </c>
    </row>
    <row r="209" customFormat="false" ht="15" hidden="false" customHeight="false" outlineLevel="0" collapsed="false">
      <c r="A209" s="10" t="s">
        <v>186</v>
      </c>
      <c r="B209" s="10" t="str">
        <f aca="false">IFERROR(INDEX('Region Lookup'!$B$2:$B$233,MATCH(A209,'Region Lookup'!$A$2:$A$233,0)),"Not found")</f>
        <v>Europe &amp; Central Asia</v>
      </c>
      <c r="C209" s="10" t="n">
        <v>2020</v>
      </c>
      <c r="D209" s="11" t="n">
        <v>60461.82813</v>
      </c>
      <c r="E209" s="12" t="n">
        <v>71.03899384</v>
      </c>
      <c r="F209" s="12" t="n">
        <v>99.91703407</v>
      </c>
      <c r="G209" s="12" t="n">
        <v>0</v>
      </c>
      <c r="H209" s="12" t="n">
        <v>0.08296592591</v>
      </c>
      <c r="I209" s="12" t="n">
        <v>0</v>
      </c>
      <c r="J209" s="12"/>
      <c r="K209" s="12"/>
      <c r="L209" s="12"/>
      <c r="M209" s="12"/>
      <c r="N209" s="12"/>
      <c r="O209" s="12"/>
      <c r="P209" s="12"/>
      <c r="Q209" s="12"/>
      <c r="R209" s="13" t="str">
        <f aca="false">IF($A209=$A210,$C210-$C209,"")</f>
        <v/>
      </c>
      <c r="S209" s="14" t="str">
        <f aca="false">IF(AND($A209=$A210,ISNUMBER(F209),ISNUMBER(F210)),(F210-F209)/($C210-$C209),"")</f>
        <v/>
      </c>
      <c r="T209" s="14" t="str">
        <f aca="false">IF(AND($A209=$A210,ISNUMBER(J209),ISNUMBER(J210)),(J210-J209)/($C210-$C209),"")</f>
        <v/>
      </c>
      <c r="U209" s="14" t="str">
        <f aca="false">IF(AND($A209=$A210,ISNUMBER(N209),ISNUMBER(N210)),(N210-N209)/($C210-$C209),"")</f>
        <v/>
      </c>
      <c r="V209" s="13" t="n">
        <f aca="false">IF(ISNUMBER(F209),ROUND(F209,0),"")</f>
        <v>100</v>
      </c>
      <c r="W209" s="13" t="str">
        <f aca="false">IF(ISNUMBER(J209),ROUND(J209,0),"")</f>
        <v/>
      </c>
      <c r="X209" s="13" t="str">
        <f aca="false">IF(ISNUMBER(N209),ROUND(N209,0),"")</f>
        <v/>
      </c>
      <c r="Y209" s="10" t="str">
        <f aca="false">IF(AND($A209=$A210,V209=100,V210=100),"full access","")</f>
        <v/>
      </c>
      <c r="Z209" s="10" t="str">
        <f aca="false">IF(AND($A209=$A210,W209=100,W210=100),"full access","")</f>
        <v/>
      </c>
      <c r="AA209" s="10" t="str">
        <f aca="false">IF(AND($A209=$A210,X209=100,X210=100),"full access","")</f>
        <v/>
      </c>
      <c r="AB209" s="14" t="str">
        <f aca="false">IF(AND(ISNUMBER(T209),ISNUMBER(U209)),T209-U209,"")</f>
        <v/>
      </c>
    </row>
    <row r="210" customFormat="false" ht="15" hidden="false" customHeight="false" outlineLevel="0" collapsed="false">
      <c r="A210" s="4" t="s">
        <v>187</v>
      </c>
      <c r="B210" s="4" t="str">
        <f aca="false">IFERROR(INDEX('Region Lookup'!$B$2:$B$233,MATCH(A210,'Region Lookup'!$A$2:$A$233,0)),"Not found")</f>
        <v>Latin America &amp; Caribbean</v>
      </c>
      <c r="C210" s="4" t="n">
        <v>2015</v>
      </c>
      <c r="D210" s="6" t="n">
        <v>2891.023926</v>
      </c>
      <c r="E210" s="7" t="n">
        <v>54.833004</v>
      </c>
      <c r="F210" s="7" t="n">
        <v>90.41679629</v>
      </c>
      <c r="G210" s="7" t="n">
        <v>5.407336603</v>
      </c>
      <c r="H210" s="7" t="n">
        <v>2.169821217</v>
      </c>
      <c r="I210" s="7" t="n">
        <v>2.006045893</v>
      </c>
      <c r="J210" s="7" t="n">
        <v>84.5007099</v>
      </c>
      <c r="K210" s="7" t="n">
        <v>8.401335753</v>
      </c>
      <c r="L210" s="7" t="n">
        <v>3.055395678</v>
      </c>
      <c r="M210" s="7" t="n">
        <v>4.042558671</v>
      </c>
      <c r="N210" s="7" t="n">
        <v>95.28999024</v>
      </c>
      <c r="O210" s="7" t="n">
        <v>2.941122015</v>
      </c>
      <c r="P210" s="7" t="n">
        <v>1.440356529</v>
      </c>
      <c r="Q210" s="7" t="n">
        <v>0.3285312153</v>
      </c>
      <c r="R210" s="8" t="n">
        <f aca="false">IF($A210=$A211,$C211-$C210,"")</f>
        <v>5</v>
      </c>
      <c r="S210" s="9" t="n">
        <f aca="false">IF(AND($A210=$A211,ISNUMBER(F210),ISNUMBER(F211)),(F211-F210)/($C211-$C210),"")</f>
        <v>0.122629642000001</v>
      </c>
      <c r="T210" s="9" t="n">
        <f aca="false">IF(AND($A210=$A211,ISNUMBER(J210),ISNUMBER(J211)),(J211-J210)/($C211-$C210),"")</f>
        <v>0.179840451999999</v>
      </c>
      <c r="U210" s="9" t="n">
        <f aca="false">IF(AND($A210=$A211,ISNUMBER(N210),ISNUMBER(N211)),(N211-N210)/($C211-$C210),"")</f>
        <v>0.0216051340000007</v>
      </c>
      <c r="V210" s="8" t="n">
        <f aca="false">IF(ISNUMBER(F210),ROUND(F210,0),"")</f>
        <v>90</v>
      </c>
      <c r="W210" s="8" t="n">
        <f aca="false">IF(ISNUMBER(J210),ROUND(J210,0),"")</f>
        <v>85</v>
      </c>
      <c r="X210" s="8" t="n">
        <f aca="false">IF(ISNUMBER(N210),ROUND(N210,0),"")</f>
        <v>95</v>
      </c>
      <c r="Y210" s="4" t="str">
        <f aca="false">IF(AND($A210=$A211,V210=100,V211=100),"full access","")</f>
        <v/>
      </c>
      <c r="Z210" s="4" t="str">
        <f aca="false">IF(AND($A210=$A211,W210=100,W211=100),"full access","")</f>
        <v/>
      </c>
      <c r="AA210" s="4" t="str">
        <f aca="false">IF(AND($A210=$A211,X210=100,X211=100),"full access","")</f>
        <v/>
      </c>
      <c r="AB210" s="9" t="n">
        <f aca="false">IF(AND(ISNUMBER(T210),ISNUMBER(U210)),T210-U210,"")</f>
        <v>0.158235317999998</v>
      </c>
    </row>
    <row r="211" customFormat="false" ht="15" hidden="false" customHeight="false" outlineLevel="0" collapsed="false">
      <c r="A211" s="4" t="s">
        <v>187</v>
      </c>
      <c r="B211" s="4" t="str">
        <f aca="false">IFERROR(INDEX('Region Lookup'!$B$2:$B$233,MATCH(A211,'Region Lookup'!$A$2:$A$233,0)),"Not found")</f>
        <v>Latin America &amp; Caribbean</v>
      </c>
      <c r="C211" s="4" t="n">
        <v>2020</v>
      </c>
      <c r="D211" s="6" t="n">
        <v>2961.160889</v>
      </c>
      <c r="E211" s="7" t="n">
        <v>56.31100082</v>
      </c>
      <c r="F211" s="7" t="n">
        <v>91.0299445</v>
      </c>
      <c r="G211" s="7" t="n">
        <v>5.367570914</v>
      </c>
      <c r="H211" s="7" t="n">
        <v>1.864010203</v>
      </c>
      <c r="I211" s="7" t="n">
        <v>1.738474379</v>
      </c>
      <c r="J211" s="7" t="n">
        <v>85.39991216</v>
      </c>
      <c r="K211" s="7" t="n">
        <v>8.490737371</v>
      </c>
      <c r="L211" s="7" t="n">
        <v>2.568971895</v>
      </c>
      <c r="M211" s="7" t="n">
        <v>3.540378574</v>
      </c>
      <c r="N211" s="7" t="n">
        <v>95.39801591</v>
      </c>
      <c r="O211" s="7" t="n">
        <v>2.944456223</v>
      </c>
      <c r="P211" s="7" t="n">
        <v>1.317064322</v>
      </c>
      <c r="Q211" s="7" t="n">
        <v>0.34046355</v>
      </c>
      <c r="R211" s="8" t="str">
        <f aca="false">IF($A211=$A212,$C212-$C211,"")</f>
        <v/>
      </c>
      <c r="S211" s="9" t="str">
        <f aca="false">IF(AND($A211=$A212,ISNUMBER(F211),ISNUMBER(F212)),(F212-F211)/($C212-$C211),"")</f>
        <v/>
      </c>
      <c r="T211" s="9" t="str">
        <f aca="false">IF(AND($A211=$A212,ISNUMBER(J211),ISNUMBER(J212)),(J212-J211)/($C212-$C211),"")</f>
        <v/>
      </c>
      <c r="U211" s="9" t="str">
        <f aca="false">IF(AND($A211=$A212,ISNUMBER(N211),ISNUMBER(N212)),(N212-N211)/($C212-$C211),"")</f>
        <v/>
      </c>
      <c r="V211" s="8" t="n">
        <f aca="false">IF(ISNUMBER(F211),ROUND(F211,0),"")</f>
        <v>91</v>
      </c>
      <c r="W211" s="8" t="n">
        <f aca="false">IF(ISNUMBER(J211),ROUND(J211,0),"")</f>
        <v>85</v>
      </c>
      <c r="X211" s="8" t="n">
        <f aca="false">IF(ISNUMBER(N211),ROUND(N211,0),"")</f>
        <v>95</v>
      </c>
      <c r="Y211" s="4" t="str">
        <f aca="false">IF(AND($A211=$A212,V211=100,V212=100),"full access","")</f>
        <v/>
      </c>
      <c r="Z211" s="4" t="str">
        <f aca="false">IF(AND($A211=$A212,W211=100,W212=100),"full access","")</f>
        <v/>
      </c>
      <c r="AA211" s="4" t="str">
        <f aca="false">IF(AND($A211=$A212,X211=100,X212=100),"full access","")</f>
        <v/>
      </c>
      <c r="AB211" s="9" t="str">
        <f aca="false">IF(AND(ISNUMBER(T211),ISNUMBER(U211)),T211-U211,"")</f>
        <v/>
      </c>
    </row>
    <row r="212" customFormat="false" ht="15" hidden="false" customHeight="false" outlineLevel="0" collapsed="false">
      <c r="A212" s="10" t="s">
        <v>188</v>
      </c>
      <c r="B212" s="10" t="str">
        <f aca="false">IFERROR(INDEX('Region Lookup'!$B$2:$B$233,MATCH(A212,'Region Lookup'!$A$2:$A$233,0)),"Not found")</f>
        <v>East Asia &amp; Pacific</v>
      </c>
      <c r="C212" s="10" t="n">
        <v>2015</v>
      </c>
      <c r="D212" s="11" t="n">
        <v>127985.1406</v>
      </c>
      <c r="E212" s="12" t="n">
        <v>91.3809967</v>
      </c>
      <c r="F212" s="12" t="n">
        <v>98.92280548</v>
      </c>
      <c r="G212" s="12" t="n">
        <v>0</v>
      </c>
      <c r="H212" s="12" t="n">
        <v>1.077194517</v>
      </c>
      <c r="I212" s="12" t="n">
        <v>0</v>
      </c>
      <c r="J212" s="12"/>
      <c r="K212" s="12"/>
      <c r="L212" s="12"/>
      <c r="M212" s="12"/>
      <c r="N212" s="12"/>
      <c r="O212" s="12"/>
      <c r="P212" s="12"/>
      <c r="Q212" s="12"/>
      <c r="R212" s="13" t="n">
        <f aca="false">IF($A212=$A213,$C213-$C212,"")</f>
        <v>5</v>
      </c>
      <c r="S212" s="14" t="n">
        <f aca="false">IF(AND($A212=$A213,ISNUMBER(F212),ISNUMBER(F213)),(F213-F212)/($C213-$C212),"")</f>
        <v>0.0312213940000021</v>
      </c>
      <c r="T212" s="14" t="str">
        <f aca="false">IF(AND($A212=$A213,ISNUMBER(J212),ISNUMBER(J213)),(J213-J212)/($C213-$C212),"")</f>
        <v/>
      </c>
      <c r="U212" s="14" t="str">
        <f aca="false">IF(AND($A212=$A213,ISNUMBER(N212),ISNUMBER(N213)),(N213-N212)/($C213-$C212),"")</f>
        <v/>
      </c>
      <c r="V212" s="13" t="n">
        <f aca="false">IF(ISNUMBER(F212),ROUND(F212,0),"")</f>
        <v>99</v>
      </c>
      <c r="W212" s="13" t="str">
        <f aca="false">IF(ISNUMBER(J212),ROUND(J212,0),"")</f>
        <v/>
      </c>
      <c r="X212" s="13" t="str">
        <f aca="false">IF(ISNUMBER(N212),ROUND(N212,0),"")</f>
        <v/>
      </c>
      <c r="Y212" s="10" t="str">
        <f aca="false">IF(AND($A212=$A213,V212=100,V213=100),"full access","")</f>
        <v/>
      </c>
      <c r="Z212" s="10" t="str">
        <f aca="false">IF(AND($A212=$A213,W212=100,W213=100),"full access","")</f>
        <v/>
      </c>
      <c r="AA212" s="10" t="str">
        <f aca="false">IF(AND($A212=$A213,X212=100,X213=100),"full access","")</f>
        <v/>
      </c>
      <c r="AB212" s="14" t="str">
        <f aca="false">IF(AND(ISNUMBER(T212),ISNUMBER(U212)),T212-U212,"")</f>
        <v/>
      </c>
    </row>
    <row r="213" customFormat="false" ht="15" hidden="false" customHeight="false" outlineLevel="0" collapsed="false">
      <c r="A213" s="10" t="s">
        <v>188</v>
      </c>
      <c r="B213" s="10" t="str">
        <f aca="false">IFERROR(INDEX('Region Lookup'!$B$2:$B$233,MATCH(A213,'Region Lookup'!$A$2:$A$233,0)),"Not found")</f>
        <v>East Asia &amp; Pacific</v>
      </c>
      <c r="C213" s="10" t="n">
        <v>2020</v>
      </c>
      <c r="D213" s="11" t="n">
        <v>126476.4609</v>
      </c>
      <c r="E213" s="12" t="n">
        <v>91.78199768</v>
      </c>
      <c r="F213" s="12" t="n">
        <v>99.07891245</v>
      </c>
      <c r="G213" s="12" t="n">
        <v>0</v>
      </c>
      <c r="H213" s="12" t="n">
        <v>0.9210875467</v>
      </c>
      <c r="I213" s="12" t="n">
        <v>0</v>
      </c>
      <c r="J213" s="12"/>
      <c r="K213" s="12"/>
      <c r="L213" s="12"/>
      <c r="M213" s="12"/>
      <c r="N213" s="12"/>
      <c r="O213" s="12"/>
      <c r="P213" s="12"/>
      <c r="Q213" s="12"/>
      <c r="R213" s="13" t="str">
        <f aca="false">IF($A213=$A214,$C214-$C213,"")</f>
        <v/>
      </c>
      <c r="S213" s="14" t="str">
        <f aca="false">IF(AND($A213=$A214,ISNUMBER(F213),ISNUMBER(F214)),(F214-F213)/($C214-$C213),"")</f>
        <v/>
      </c>
      <c r="T213" s="14" t="str">
        <f aca="false">IF(AND($A213=$A214,ISNUMBER(J213),ISNUMBER(J214)),(J214-J213)/($C214-$C213),"")</f>
        <v/>
      </c>
      <c r="U213" s="14" t="str">
        <f aca="false">IF(AND($A213=$A214,ISNUMBER(N213),ISNUMBER(N214)),(N214-N213)/($C214-$C213),"")</f>
        <v/>
      </c>
      <c r="V213" s="13" t="n">
        <f aca="false">IF(ISNUMBER(F213),ROUND(F213,0),"")</f>
        <v>99</v>
      </c>
      <c r="W213" s="13" t="str">
        <f aca="false">IF(ISNUMBER(J213),ROUND(J213,0),"")</f>
        <v/>
      </c>
      <c r="X213" s="13" t="str">
        <f aca="false">IF(ISNUMBER(N213),ROUND(N213,0),"")</f>
        <v/>
      </c>
      <c r="Y213" s="10" t="str">
        <f aca="false">IF(AND($A213=$A214,V213=100,V214=100),"full access","")</f>
        <v/>
      </c>
      <c r="Z213" s="10" t="str">
        <f aca="false">IF(AND($A213=$A214,W213=100,W214=100),"full access","")</f>
        <v/>
      </c>
      <c r="AA213" s="10" t="str">
        <f aca="false">IF(AND($A213=$A214,X213=100,X214=100),"full access","")</f>
        <v/>
      </c>
      <c r="AB213" s="14" t="str">
        <f aca="false">IF(AND(ISNUMBER(T213),ISNUMBER(U213)),T213-U213,"")</f>
        <v/>
      </c>
    </row>
    <row r="214" customFormat="false" ht="15" hidden="false" customHeight="false" outlineLevel="0" collapsed="false">
      <c r="A214" s="4" t="s">
        <v>189</v>
      </c>
      <c r="B214" s="4" t="str">
        <f aca="false">IFERROR(INDEX('Region Lookup'!$B$2:$B$233,MATCH(A214,'Region Lookup'!$A$2:$A$233,0)),"Not found")</f>
        <v>Middle East &amp; North Africa</v>
      </c>
      <c r="C214" s="4" t="n">
        <v>2015</v>
      </c>
      <c r="D214" s="6" t="n">
        <v>9266.573242</v>
      </c>
      <c r="E214" s="7" t="n">
        <v>90.25600433</v>
      </c>
      <c r="F214" s="7" t="n">
        <v>99.00678491</v>
      </c>
      <c r="G214" s="7" t="n">
        <v>0.1524029836</v>
      </c>
      <c r="H214" s="7" t="n">
        <v>0.7812311648</v>
      </c>
      <c r="I214" s="7" t="n">
        <v>0.05958093834</v>
      </c>
      <c r="J214" s="7" t="n">
        <v>97.36231539</v>
      </c>
      <c r="K214" s="7" t="n">
        <v>0.6242725518</v>
      </c>
      <c r="L214" s="7" t="n">
        <v>1.973552059</v>
      </c>
      <c r="M214" s="7" t="n">
        <v>0.03986</v>
      </c>
      <c r="N214" s="7" t="n">
        <v>99.18431682</v>
      </c>
      <c r="O214" s="7" t="n">
        <v>0.1014601355</v>
      </c>
      <c r="P214" s="7" t="n">
        <v>0.6525130437</v>
      </c>
      <c r="Q214" s="7" t="n">
        <v>0.06171</v>
      </c>
      <c r="R214" s="8" t="n">
        <f aca="false">IF($A214=$A215,$C215-$C214,"")</f>
        <v>5</v>
      </c>
      <c r="S214" s="9" t="n">
        <f aca="false">IF(AND($A214=$A215,ISNUMBER(F214),ISNUMBER(F215)),(F215-F214)/($C215-$C214),"")</f>
        <v>-0.0132963899999993</v>
      </c>
      <c r="T214" s="9" t="n">
        <f aca="false">IF(AND($A214=$A215,ISNUMBER(J214),ISNUMBER(J215)),(J215-J214)/($C215-$C214),"")</f>
        <v>-0.010167340000001</v>
      </c>
      <c r="U214" s="9" t="n">
        <f aca="false">IF(AND($A214=$A215,ISNUMBER(N214),ISNUMBER(N215)),(N215-N214)/($C215-$C214),"")</f>
        <v>-0.0182208460000027</v>
      </c>
      <c r="V214" s="8" t="n">
        <f aca="false">IF(ISNUMBER(F214),ROUND(F214,0),"")</f>
        <v>99</v>
      </c>
      <c r="W214" s="8" t="n">
        <f aca="false">IF(ISNUMBER(J214),ROUND(J214,0),"")</f>
        <v>97</v>
      </c>
      <c r="X214" s="8" t="n">
        <f aca="false">IF(ISNUMBER(N214),ROUND(N214,0),"")</f>
        <v>99</v>
      </c>
      <c r="Y214" s="4" t="str">
        <f aca="false">IF(AND($A214=$A215,V214=100,V215=100),"full access","")</f>
        <v/>
      </c>
      <c r="Z214" s="4" t="str">
        <f aca="false">IF(AND($A214=$A215,W214=100,W215=100),"full access","")</f>
        <v/>
      </c>
      <c r="AA214" s="4" t="str">
        <f aca="false">IF(AND($A214=$A215,X214=100,X215=100),"full access","")</f>
        <v/>
      </c>
      <c r="AB214" s="9" t="n">
        <f aca="false">IF(AND(ISNUMBER(T214),ISNUMBER(U214)),T214-U214,"")</f>
        <v>0.00805350600000168</v>
      </c>
    </row>
    <row r="215" customFormat="false" ht="15" hidden="false" customHeight="false" outlineLevel="0" collapsed="false">
      <c r="A215" s="4" t="s">
        <v>189</v>
      </c>
      <c r="B215" s="4" t="str">
        <f aca="false">IFERROR(INDEX('Region Lookup'!$B$2:$B$233,MATCH(A215,'Region Lookup'!$A$2:$A$233,0)),"Not found")</f>
        <v>Middle East &amp; North Africa</v>
      </c>
      <c r="C215" s="4" t="n">
        <v>2020</v>
      </c>
      <c r="D215" s="6" t="n">
        <v>10203.13965</v>
      </c>
      <c r="E215" s="7" t="n">
        <v>91.41799927</v>
      </c>
      <c r="F215" s="7" t="n">
        <v>98.94030296</v>
      </c>
      <c r="G215" s="7" t="n">
        <v>0.1462147369</v>
      </c>
      <c r="H215" s="7" t="n">
        <v>0.8536474704</v>
      </c>
      <c r="I215" s="7" t="n">
        <v>0.05983483179</v>
      </c>
      <c r="J215" s="7" t="n">
        <v>97.31147869</v>
      </c>
      <c r="K215" s="7" t="n">
        <v>0.6239465945</v>
      </c>
      <c r="L215" s="7" t="n">
        <v>2.024714716</v>
      </c>
      <c r="M215" s="7" t="n">
        <v>0.03986</v>
      </c>
      <c r="N215" s="7" t="n">
        <v>99.09321259</v>
      </c>
      <c r="O215" s="7" t="n">
        <v>0.1013669408</v>
      </c>
      <c r="P215" s="7" t="n">
        <v>0.7437104707</v>
      </c>
      <c r="Q215" s="7" t="n">
        <v>0.06171</v>
      </c>
      <c r="R215" s="8" t="str">
        <f aca="false">IF($A215=$A216,$C216-$C215,"")</f>
        <v/>
      </c>
      <c r="S215" s="9" t="str">
        <f aca="false">IF(AND($A215=$A216,ISNUMBER(F215),ISNUMBER(F216)),(F216-F215)/($C216-$C215),"")</f>
        <v/>
      </c>
      <c r="T215" s="9" t="str">
        <f aca="false">IF(AND($A215=$A216,ISNUMBER(J215),ISNUMBER(J216)),(J216-J215)/($C216-$C215),"")</f>
        <v/>
      </c>
      <c r="U215" s="9" t="str">
        <f aca="false">IF(AND($A215=$A216,ISNUMBER(N215),ISNUMBER(N216)),(N216-N215)/($C216-$C215),"")</f>
        <v/>
      </c>
      <c r="V215" s="8" t="n">
        <f aca="false">IF(ISNUMBER(F215),ROUND(F215,0),"")</f>
        <v>99</v>
      </c>
      <c r="W215" s="8" t="n">
        <f aca="false">IF(ISNUMBER(J215),ROUND(J215,0),"")</f>
        <v>97</v>
      </c>
      <c r="X215" s="8" t="n">
        <f aca="false">IF(ISNUMBER(N215),ROUND(N215,0),"")</f>
        <v>99</v>
      </c>
      <c r="Y215" s="4" t="str">
        <f aca="false">IF(AND($A215=$A216,V215=100,V216=100),"full access","")</f>
        <v/>
      </c>
      <c r="Z215" s="4" t="str">
        <f aca="false">IF(AND($A215=$A216,W215=100,W216=100),"full access","")</f>
        <v/>
      </c>
      <c r="AA215" s="4" t="str">
        <f aca="false">IF(AND($A215=$A216,X215=100,X216=100),"full access","")</f>
        <v/>
      </c>
      <c r="AB215" s="9" t="str">
        <f aca="false">IF(AND(ISNUMBER(T215),ISNUMBER(U215)),T215-U215,"")</f>
        <v/>
      </c>
    </row>
    <row r="216" customFormat="false" ht="15" hidden="false" customHeight="false" outlineLevel="0" collapsed="false">
      <c r="A216" s="10" t="s">
        <v>190</v>
      </c>
      <c r="B216" s="10" t="str">
        <f aca="false">IFERROR(INDEX('Region Lookup'!$B$2:$B$233,MATCH(A216,'Region Lookup'!$A$2:$A$233,0)),"Not found")</f>
        <v>Europe &amp; Central Asia</v>
      </c>
      <c r="C216" s="10" t="n">
        <v>2015</v>
      </c>
      <c r="D216" s="11" t="n">
        <v>17572.00977</v>
      </c>
      <c r="E216" s="12" t="n">
        <v>57.19100189</v>
      </c>
      <c r="F216" s="12" t="n">
        <v>95.02533441</v>
      </c>
      <c r="G216" s="12" t="n">
        <v>1.812908425</v>
      </c>
      <c r="H216" s="12" t="n">
        <v>2.904392652</v>
      </c>
      <c r="I216" s="12" t="n">
        <v>0.2573645111</v>
      </c>
      <c r="J216" s="12" t="n">
        <v>90.74749784</v>
      </c>
      <c r="K216" s="12" t="n">
        <v>1.86677185</v>
      </c>
      <c r="L216" s="12" t="n">
        <v>6.784537749</v>
      </c>
      <c r="M216" s="12" t="n">
        <v>0.6011925556</v>
      </c>
      <c r="N216" s="12" t="n">
        <v>98.22740979</v>
      </c>
      <c r="O216" s="12" t="n">
        <v>1.772590206</v>
      </c>
      <c r="P216" s="12" t="n">
        <v>0</v>
      </c>
      <c r="Q216" s="12" t="n">
        <v>0</v>
      </c>
      <c r="R216" s="13" t="n">
        <f aca="false">IF($A216=$A217,$C217-$C216,"")</f>
        <v>5</v>
      </c>
      <c r="S216" s="14" t="n">
        <f aca="false">IF(AND($A216=$A217,ISNUMBER(F216),ISNUMBER(F217)),(F217-F216)/($C217-$C216),"")</f>
        <v>0.0819271820000012</v>
      </c>
      <c r="T216" s="14" t="n">
        <f aca="false">IF(AND($A216=$A217,ISNUMBER(J216),ISNUMBER(J217)),(J217-J216)/($C217-$C216),"")</f>
        <v>0.2383509</v>
      </c>
      <c r="U216" s="14" t="n">
        <f aca="false">IF(AND($A216=$A217,ISNUMBER(N216),ISNUMBER(N217)),(N217-N216)/($C217-$C216),"")</f>
        <v>-0.0453356920000005</v>
      </c>
      <c r="V216" s="13" t="n">
        <f aca="false">IF(ISNUMBER(F216),ROUND(F216,0),"")</f>
        <v>95</v>
      </c>
      <c r="W216" s="13" t="n">
        <f aca="false">IF(ISNUMBER(J216),ROUND(J216,0),"")</f>
        <v>91</v>
      </c>
      <c r="X216" s="13" t="n">
        <f aca="false">IF(ISNUMBER(N216),ROUND(N216,0),"")</f>
        <v>98</v>
      </c>
      <c r="Y216" s="10" t="str">
        <f aca="false">IF(AND($A216=$A217,V216=100,V217=100),"full access","")</f>
        <v/>
      </c>
      <c r="Z216" s="10" t="str">
        <f aca="false">IF(AND($A216=$A217,W216=100,W217=100),"full access","")</f>
        <v/>
      </c>
      <c r="AA216" s="10" t="str">
        <f aca="false">IF(AND($A216=$A217,X216=100,X217=100),"full access","")</f>
        <v/>
      </c>
      <c r="AB216" s="14" t="n">
        <f aca="false">IF(AND(ISNUMBER(T216),ISNUMBER(U216)),T216-U216,"")</f>
        <v>0.283686592000001</v>
      </c>
    </row>
    <row r="217" customFormat="false" ht="15" hidden="false" customHeight="false" outlineLevel="0" collapsed="false">
      <c r="A217" s="10" t="s">
        <v>190</v>
      </c>
      <c r="B217" s="10" t="str">
        <f aca="false">IFERROR(INDEX('Region Lookup'!$B$2:$B$233,MATCH(A217,'Region Lookup'!$A$2:$A$233,0)),"Not found")</f>
        <v>Europe &amp; Central Asia</v>
      </c>
      <c r="C217" s="10" t="n">
        <v>2020</v>
      </c>
      <c r="D217" s="11" t="n">
        <v>18776.70703</v>
      </c>
      <c r="E217" s="12" t="n">
        <v>57.67100143</v>
      </c>
      <c r="F217" s="12" t="n">
        <v>95.43497032</v>
      </c>
      <c r="G217" s="12" t="n">
        <v>1.941425039</v>
      </c>
      <c r="H217" s="12" t="n">
        <v>2.545956934</v>
      </c>
      <c r="I217" s="12" t="n">
        <v>0.07764770471</v>
      </c>
      <c r="J217" s="12" t="n">
        <v>91.93925234</v>
      </c>
      <c r="K217" s="12" t="n">
        <v>1.862616064</v>
      </c>
      <c r="L217" s="12" t="n">
        <v>6.014693049</v>
      </c>
      <c r="M217" s="12" t="n">
        <v>0.1834385438</v>
      </c>
      <c r="N217" s="12" t="n">
        <v>98.00073133</v>
      </c>
      <c r="O217" s="12" t="n">
        <v>1.999268673</v>
      </c>
      <c r="P217" s="12" t="n">
        <v>0</v>
      </c>
      <c r="Q217" s="12" t="n">
        <v>0</v>
      </c>
      <c r="R217" s="13" t="str">
        <f aca="false">IF($A217=$A218,$C218-$C217,"")</f>
        <v/>
      </c>
      <c r="S217" s="14" t="str">
        <f aca="false">IF(AND($A217=$A218,ISNUMBER(F217),ISNUMBER(F218)),(F218-F217)/($C218-$C217),"")</f>
        <v/>
      </c>
      <c r="T217" s="14" t="str">
        <f aca="false">IF(AND($A217=$A218,ISNUMBER(J217),ISNUMBER(J218)),(J218-J217)/($C218-$C217),"")</f>
        <v/>
      </c>
      <c r="U217" s="14" t="str">
        <f aca="false">IF(AND($A217=$A218,ISNUMBER(N217),ISNUMBER(N218)),(N218-N217)/($C218-$C217),"")</f>
        <v/>
      </c>
      <c r="V217" s="13" t="n">
        <f aca="false">IF(ISNUMBER(F217),ROUND(F217,0),"")</f>
        <v>95</v>
      </c>
      <c r="W217" s="13" t="n">
        <f aca="false">IF(ISNUMBER(J217),ROUND(J217,0),"")</f>
        <v>92</v>
      </c>
      <c r="X217" s="13" t="n">
        <f aca="false">IF(ISNUMBER(N217),ROUND(N217,0),"")</f>
        <v>98</v>
      </c>
      <c r="Y217" s="10" t="str">
        <f aca="false">IF(AND($A217=$A218,V217=100,V218=100),"full access","")</f>
        <v/>
      </c>
      <c r="Z217" s="10" t="str">
        <f aca="false">IF(AND($A217=$A218,W217=100,W218=100),"full access","")</f>
        <v/>
      </c>
      <c r="AA217" s="10" t="str">
        <f aca="false">IF(AND($A217=$A218,X217=100,X218=100),"full access","")</f>
        <v/>
      </c>
      <c r="AB217" s="14" t="str">
        <f aca="false">IF(AND(ISNUMBER(T217),ISNUMBER(U217)),T217-U217,"")</f>
        <v/>
      </c>
    </row>
    <row r="218" customFormat="false" ht="15" hidden="false" customHeight="false" outlineLevel="0" collapsed="false">
      <c r="A218" s="4" t="s">
        <v>191</v>
      </c>
      <c r="B218" s="4" t="str">
        <f aca="false">IFERROR(INDEX('Region Lookup'!$B$2:$B$233,MATCH(A218,'Region Lookup'!$A$2:$A$233,0)),"Not found")</f>
        <v>Sub-Saharan Africa</v>
      </c>
      <c r="C218" s="4" t="n">
        <v>2015</v>
      </c>
      <c r="D218" s="6" t="n">
        <v>47878.33984</v>
      </c>
      <c r="E218" s="7" t="n">
        <v>25.65799904</v>
      </c>
      <c r="F218" s="7" t="n">
        <v>58.19692798</v>
      </c>
      <c r="G218" s="7" t="n">
        <v>8.796753977</v>
      </c>
      <c r="H218" s="7" t="n">
        <v>11.52291835</v>
      </c>
      <c r="I218" s="7" t="n">
        <v>21.48339969</v>
      </c>
      <c r="J218" s="7" t="n">
        <v>48.27216191</v>
      </c>
      <c r="K218" s="7" t="n">
        <v>10.37313934</v>
      </c>
      <c r="L218" s="7" t="n">
        <v>14.21683468</v>
      </c>
      <c r="M218" s="7" t="n">
        <v>27.13786408</v>
      </c>
      <c r="N218" s="7" t="n">
        <v>86.95314792</v>
      </c>
      <c r="O218" s="7" t="n">
        <v>4.22930427</v>
      </c>
      <c r="P218" s="7" t="n">
        <v>3.717504383</v>
      </c>
      <c r="Q218" s="7" t="n">
        <v>5.100043429</v>
      </c>
      <c r="R218" s="8" t="n">
        <f aca="false">IF($A218=$A219,$C219-$C218,"")</f>
        <v>5</v>
      </c>
      <c r="S218" s="9" t="n">
        <f aca="false">IF(AND($A218=$A219,ISNUMBER(F218),ISNUMBER(F219)),(F219-F218)/($C219-$C218),"")</f>
        <v>0.68719272</v>
      </c>
      <c r="T218" s="9" t="n">
        <f aca="false">IF(AND($A218=$A219,ISNUMBER(J218),ISNUMBER(J219)),(J219-J218)/($C219-$C218),"")</f>
        <v>0.701563404</v>
      </c>
      <c r="U218" s="9" t="n">
        <f aca="false">IF(AND($A218=$A219,ISNUMBER(N218),ISNUMBER(N219)),(N219-N218)/($C219-$C218),"")</f>
        <v>0.00441670599999782</v>
      </c>
      <c r="V218" s="8" t="n">
        <f aca="false">IF(ISNUMBER(F218),ROUND(F218,0),"")</f>
        <v>58</v>
      </c>
      <c r="W218" s="8" t="n">
        <f aca="false">IF(ISNUMBER(J218),ROUND(J218,0),"")</f>
        <v>48</v>
      </c>
      <c r="X218" s="8" t="n">
        <f aca="false">IF(ISNUMBER(N218),ROUND(N218,0),"")</f>
        <v>87</v>
      </c>
      <c r="Y218" s="4" t="str">
        <f aca="false">IF(AND($A218=$A219,V218=100,V219=100),"full access","")</f>
        <v/>
      </c>
      <c r="Z218" s="4" t="str">
        <f aca="false">IF(AND($A218=$A219,W218=100,W219=100),"full access","")</f>
        <v/>
      </c>
      <c r="AA218" s="4" t="str">
        <f aca="false">IF(AND($A218=$A219,X218=100,X219=100),"full access","")</f>
        <v/>
      </c>
      <c r="AB218" s="9" t="n">
        <f aca="false">IF(AND(ISNUMBER(T218),ISNUMBER(U218)),T218-U218,"")</f>
        <v>0.697146698000002</v>
      </c>
    </row>
    <row r="219" customFormat="false" ht="15" hidden="false" customHeight="false" outlineLevel="0" collapsed="false">
      <c r="A219" s="4" t="s">
        <v>191</v>
      </c>
      <c r="B219" s="4" t="str">
        <f aca="false">IFERROR(INDEX('Region Lookup'!$B$2:$B$233,MATCH(A219,'Region Lookup'!$A$2:$A$233,0)),"Not found")</f>
        <v>Sub-Saharan Africa</v>
      </c>
      <c r="C219" s="4" t="n">
        <v>2020</v>
      </c>
      <c r="D219" s="6" t="n">
        <v>53771.30078</v>
      </c>
      <c r="E219" s="7" t="n">
        <v>27.99499893</v>
      </c>
      <c r="F219" s="7" t="n">
        <v>61.63289158</v>
      </c>
      <c r="G219" s="7" t="n">
        <v>9.54187005</v>
      </c>
      <c r="H219" s="7" t="n">
        <v>9.780087524</v>
      </c>
      <c r="I219" s="7" t="n">
        <v>19.04515084</v>
      </c>
      <c r="J219" s="7" t="n">
        <v>51.77997893</v>
      </c>
      <c r="K219" s="7" t="n">
        <v>11.56900419</v>
      </c>
      <c r="L219" s="7" t="n">
        <v>12.51911322</v>
      </c>
      <c r="M219" s="7" t="n">
        <v>24.13190366</v>
      </c>
      <c r="N219" s="7" t="n">
        <v>86.97523145</v>
      </c>
      <c r="O219" s="7" t="n">
        <v>4.327944725</v>
      </c>
      <c r="P219" s="7" t="n">
        <v>2.73514263</v>
      </c>
      <c r="Q219" s="7" t="n">
        <v>5.961681193</v>
      </c>
      <c r="R219" s="8" t="str">
        <f aca="false">IF($A219=$A220,$C220-$C219,"")</f>
        <v/>
      </c>
      <c r="S219" s="9" t="str">
        <f aca="false">IF(AND($A219=$A220,ISNUMBER(F219),ISNUMBER(F220)),(F220-F219)/($C220-$C219),"")</f>
        <v/>
      </c>
      <c r="T219" s="9" t="str">
        <f aca="false">IF(AND($A219=$A220,ISNUMBER(J219),ISNUMBER(J220)),(J220-J219)/($C220-$C219),"")</f>
        <v/>
      </c>
      <c r="U219" s="9" t="str">
        <f aca="false">IF(AND($A219=$A220,ISNUMBER(N219),ISNUMBER(N220)),(N220-N219)/($C220-$C219),"")</f>
        <v/>
      </c>
      <c r="V219" s="8" t="n">
        <f aca="false">IF(ISNUMBER(F219),ROUND(F219,0),"")</f>
        <v>62</v>
      </c>
      <c r="W219" s="8" t="n">
        <f aca="false">IF(ISNUMBER(J219),ROUND(J219,0),"")</f>
        <v>52</v>
      </c>
      <c r="X219" s="8" t="n">
        <f aca="false">IF(ISNUMBER(N219),ROUND(N219,0),"")</f>
        <v>87</v>
      </c>
      <c r="Y219" s="4" t="str">
        <f aca="false">IF(AND($A219=$A220,V219=100,V220=100),"full access","")</f>
        <v/>
      </c>
      <c r="Z219" s="4" t="str">
        <f aca="false">IF(AND($A219=$A220,W219=100,W220=100),"full access","")</f>
        <v/>
      </c>
      <c r="AA219" s="4" t="str">
        <f aca="false">IF(AND($A219=$A220,X219=100,X220=100),"full access","")</f>
        <v/>
      </c>
      <c r="AB219" s="9" t="str">
        <f aca="false">IF(AND(ISNUMBER(T219),ISNUMBER(U219)),T219-U219,"")</f>
        <v/>
      </c>
    </row>
    <row r="220" customFormat="false" ht="15" hidden="false" customHeight="false" outlineLevel="0" collapsed="false">
      <c r="A220" s="10" t="s">
        <v>192</v>
      </c>
      <c r="B220" s="10" t="str">
        <f aca="false">IFERROR(INDEX('Region Lookup'!$B$2:$B$233,MATCH(A220,'Region Lookup'!$A$2:$A$233,0)),"Not found")</f>
        <v>East Asia &amp; Pacific</v>
      </c>
      <c r="C220" s="10" t="n">
        <v>2015</v>
      </c>
      <c r="D220" s="11" t="n">
        <v>110.927002</v>
      </c>
      <c r="E220" s="12" t="n">
        <v>51.61899948</v>
      </c>
      <c r="F220" s="12" t="n">
        <v>73.84809659</v>
      </c>
      <c r="G220" s="12" t="n">
        <v>2.340891569</v>
      </c>
      <c r="H220" s="12" t="n">
        <v>23.81101184</v>
      </c>
      <c r="I220" s="12" t="n">
        <v>0</v>
      </c>
      <c r="J220" s="12" t="n">
        <v>57.92225259</v>
      </c>
      <c r="K220" s="12" t="n">
        <v>1.639587928</v>
      </c>
      <c r="L220" s="12" t="n">
        <v>40.43815948</v>
      </c>
      <c r="M220" s="12" t="n">
        <v>0</v>
      </c>
      <c r="N220" s="12" t="n">
        <v>88.774932</v>
      </c>
      <c r="O220" s="12" t="n">
        <v>2.998203296</v>
      </c>
      <c r="P220" s="12" t="n">
        <v>8.226864706</v>
      </c>
      <c r="Q220" s="12" t="n">
        <v>0</v>
      </c>
      <c r="R220" s="13" t="n">
        <f aca="false">IF($A220=$A221,$C221-$C220,"")</f>
        <v>5</v>
      </c>
      <c r="S220" s="14" t="n">
        <f aca="false">IF(AND($A220=$A221,ISNUMBER(F220),ISNUMBER(F221)),(F221-F220)/($C221-$C220),"")</f>
        <v>0.824564852</v>
      </c>
      <c r="T220" s="14" t="n">
        <f aca="false">IF(AND($A220=$A221,ISNUMBER(J220),ISNUMBER(J221)),(J221-J220)/($C221-$C220),"")</f>
        <v>0.61438646</v>
      </c>
      <c r="U220" s="14" t="n">
        <f aca="false">IF(AND($A220=$A221,ISNUMBER(N220),ISNUMBER(N221)),(N221-N220)/($C221-$C220),"")</f>
        <v>0.551248569999999</v>
      </c>
      <c r="V220" s="13" t="n">
        <f aca="false">IF(ISNUMBER(F220),ROUND(F220,0),"")</f>
        <v>74</v>
      </c>
      <c r="W220" s="13" t="n">
        <f aca="false">IF(ISNUMBER(J220),ROUND(J220,0),"")</f>
        <v>58</v>
      </c>
      <c r="X220" s="13" t="n">
        <f aca="false">IF(ISNUMBER(N220),ROUND(N220,0),"")</f>
        <v>89</v>
      </c>
      <c r="Y220" s="10" t="str">
        <f aca="false">IF(AND($A220=$A221,V220=100,V221=100),"full access","")</f>
        <v/>
      </c>
      <c r="Z220" s="10" t="str">
        <f aca="false">IF(AND($A220=$A221,W220=100,W221=100),"full access","")</f>
        <v/>
      </c>
      <c r="AA220" s="10" t="str">
        <f aca="false">IF(AND($A220=$A221,X220=100,X221=100),"full access","")</f>
        <v/>
      </c>
      <c r="AB220" s="14" t="n">
        <f aca="false">IF(AND(ISNUMBER(T220),ISNUMBER(U220)),T220-U220,"")</f>
        <v>0.0631378900000016</v>
      </c>
    </row>
    <row r="221" customFormat="false" ht="15" hidden="false" customHeight="false" outlineLevel="0" collapsed="false">
      <c r="A221" s="10" t="s">
        <v>192</v>
      </c>
      <c r="B221" s="10" t="str">
        <f aca="false">IFERROR(INDEX('Region Lookup'!$B$2:$B$233,MATCH(A221,'Region Lookup'!$A$2:$A$233,0)),"Not found")</f>
        <v>East Asia &amp; Pacific</v>
      </c>
      <c r="C221" s="10" t="n">
        <v>2020</v>
      </c>
      <c r="D221" s="11" t="n">
        <v>119.4459991</v>
      </c>
      <c r="E221" s="12" t="n">
        <v>55.59399796</v>
      </c>
      <c r="F221" s="12" t="n">
        <v>77.97092085</v>
      </c>
      <c r="G221" s="12" t="n">
        <v>4.076899625</v>
      </c>
      <c r="H221" s="12" t="n">
        <v>17.95217953</v>
      </c>
      <c r="I221" s="12" t="n">
        <v>0</v>
      </c>
      <c r="J221" s="12" t="n">
        <v>60.99418489</v>
      </c>
      <c r="K221" s="12" t="n">
        <v>2.096609799</v>
      </c>
      <c r="L221" s="12" t="n">
        <v>36.90920532</v>
      </c>
      <c r="M221" s="12" t="n">
        <v>0</v>
      </c>
      <c r="N221" s="12" t="n">
        <v>91.53117485</v>
      </c>
      <c r="O221" s="12" t="n">
        <v>5.658666461</v>
      </c>
      <c r="P221" s="12" t="n">
        <v>2.810158691</v>
      </c>
      <c r="Q221" s="12" t="n">
        <v>0</v>
      </c>
      <c r="R221" s="13" t="str">
        <f aca="false">IF($A221=$A222,$C222-$C221,"")</f>
        <v/>
      </c>
      <c r="S221" s="14" t="str">
        <f aca="false">IF(AND($A221=$A222,ISNUMBER(F221),ISNUMBER(F222)),(F222-F221)/($C222-$C221),"")</f>
        <v/>
      </c>
      <c r="T221" s="14" t="str">
        <f aca="false">IF(AND($A221=$A222,ISNUMBER(J221),ISNUMBER(J222)),(J222-J221)/($C222-$C221),"")</f>
        <v/>
      </c>
      <c r="U221" s="14" t="str">
        <f aca="false">IF(AND($A221=$A222,ISNUMBER(N221),ISNUMBER(N222)),(N222-N221)/($C222-$C221),"")</f>
        <v/>
      </c>
      <c r="V221" s="13" t="n">
        <f aca="false">IF(ISNUMBER(F221),ROUND(F221,0),"")</f>
        <v>78</v>
      </c>
      <c r="W221" s="13" t="n">
        <f aca="false">IF(ISNUMBER(J221),ROUND(J221,0),"")</f>
        <v>61</v>
      </c>
      <c r="X221" s="13" t="n">
        <f aca="false">IF(ISNUMBER(N221),ROUND(N221,0),"")</f>
        <v>92</v>
      </c>
      <c r="Y221" s="10" t="str">
        <f aca="false">IF(AND($A221=$A222,V221=100,V222=100),"full access","")</f>
        <v/>
      </c>
      <c r="Z221" s="10" t="str">
        <f aca="false">IF(AND($A221=$A222,W221=100,W222=100),"full access","")</f>
        <v/>
      </c>
      <c r="AA221" s="10" t="str">
        <f aca="false">IF(AND($A221=$A222,X221=100,X222=100),"full access","")</f>
        <v/>
      </c>
      <c r="AB221" s="14" t="str">
        <f aca="false">IF(AND(ISNUMBER(T221),ISNUMBER(U221)),T221-U221,"")</f>
        <v/>
      </c>
    </row>
    <row r="222" customFormat="false" ht="15" hidden="false" customHeight="false" outlineLevel="0" collapsed="false">
      <c r="A222" s="4" t="s">
        <v>193</v>
      </c>
      <c r="B222" s="4" t="str">
        <f aca="false">IFERROR(INDEX('Region Lookup'!$B$2:$B$233,MATCH(A222,'Region Lookup'!$A$2:$A$233,0)),"Not found")</f>
        <v>Middle East &amp; North Africa</v>
      </c>
      <c r="C222" s="4" t="n">
        <v>2015</v>
      </c>
      <c r="D222" s="6" t="n">
        <v>3835.587891</v>
      </c>
      <c r="E222" s="7" t="n">
        <v>100</v>
      </c>
      <c r="F222" s="7" t="n">
        <v>100</v>
      </c>
      <c r="G222" s="7" t="n">
        <v>0</v>
      </c>
      <c r="H222" s="7" t="n">
        <v>0</v>
      </c>
      <c r="I222" s="7" t="n">
        <v>0</v>
      </c>
      <c r="J222" s="7"/>
      <c r="K222" s="7"/>
      <c r="L222" s="7"/>
      <c r="M222" s="7"/>
      <c r="N222" s="7"/>
      <c r="O222" s="7"/>
      <c r="P222" s="7"/>
      <c r="Q222" s="7"/>
      <c r="R222" s="8" t="n">
        <f aca="false">IF($A222=$A223,$C223-$C222,"")</f>
        <v>5</v>
      </c>
      <c r="S222" s="9" t="n">
        <f aca="false">IF(AND($A222=$A223,ISNUMBER(F222),ISNUMBER(F223)),(F223-F222)/($C223-$C222),"")</f>
        <v>0</v>
      </c>
      <c r="T222" s="9" t="str">
        <f aca="false">IF(AND($A222=$A223,ISNUMBER(J222),ISNUMBER(J223)),(J223-J222)/($C223-$C222),"")</f>
        <v/>
      </c>
      <c r="U222" s="9" t="str">
        <f aca="false">IF(AND($A222=$A223,ISNUMBER(N222),ISNUMBER(N223)),(N223-N222)/($C223-$C222),"")</f>
        <v/>
      </c>
      <c r="V222" s="8" t="n">
        <f aca="false">IF(ISNUMBER(F222),ROUND(F222,0),"")</f>
        <v>100</v>
      </c>
      <c r="W222" s="8" t="str">
        <f aca="false">IF(ISNUMBER(J222),ROUND(J222,0),"")</f>
        <v/>
      </c>
      <c r="X222" s="8" t="str">
        <f aca="false">IF(ISNUMBER(N222),ROUND(N222,0),"")</f>
        <v/>
      </c>
      <c r="Y222" s="4" t="str">
        <f aca="false">IF(AND($A222=$A223,V222=100,V223=100),"full access","")</f>
        <v>full access</v>
      </c>
      <c r="Z222" s="4" t="str">
        <f aca="false">IF(AND($A222=$A223,W222=100,W223=100),"full access","")</f>
        <v/>
      </c>
      <c r="AA222" s="4" t="str">
        <f aca="false">IF(AND($A222=$A223,X222=100,X223=100),"full access","")</f>
        <v/>
      </c>
      <c r="AB222" s="9" t="str">
        <f aca="false">IF(AND(ISNUMBER(T222),ISNUMBER(U222)),T222-U222,"")</f>
        <v/>
      </c>
    </row>
    <row r="223" customFormat="false" ht="15" hidden="false" customHeight="false" outlineLevel="0" collapsed="false">
      <c r="A223" s="4" t="s">
        <v>193</v>
      </c>
      <c r="B223" s="4" t="str">
        <f aca="false">IFERROR(INDEX('Region Lookup'!$B$2:$B$233,MATCH(A223,'Region Lookup'!$A$2:$A$233,0)),"Not found")</f>
        <v>Middle East &amp; North Africa</v>
      </c>
      <c r="C223" s="4" t="n">
        <v>2020</v>
      </c>
      <c r="D223" s="6" t="n">
        <v>4270.562988</v>
      </c>
      <c r="E223" s="7" t="n">
        <v>100</v>
      </c>
      <c r="F223" s="7" t="n">
        <v>100</v>
      </c>
      <c r="G223" s="7" t="n">
        <v>0</v>
      </c>
      <c r="H223" s="7" t="n">
        <v>0</v>
      </c>
      <c r="I223" s="7" t="n">
        <v>0</v>
      </c>
      <c r="J223" s="7"/>
      <c r="K223" s="7"/>
      <c r="L223" s="7"/>
      <c r="M223" s="7"/>
      <c r="N223" s="7"/>
      <c r="O223" s="7"/>
      <c r="P223" s="7"/>
      <c r="Q223" s="7"/>
      <c r="R223" s="8" t="str">
        <f aca="false">IF($A223=$A224,$C224-$C223,"")</f>
        <v/>
      </c>
      <c r="S223" s="9" t="str">
        <f aca="false">IF(AND($A223=$A224,ISNUMBER(F223),ISNUMBER(F224)),(F224-F223)/($C224-$C223),"")</f>
        <v/>
      </c>
      <c r="T223" s="9" t="str">
        <f aca="false">IF(AND($A223=$A224,ISNUMBER(J223),ISNUMBER(J224)),(J224-J223)/($C224-$C223),"")</f>
        <v/>
      </c>
      <c r="U223" s="9" t="str">
        <f aca="false">IF(AND($A223=$A224,ISNUMBER(N223),ISNUMBER(N224)),(N224-N223)/($C224-$C223),"")</f>
        <v/>
      </c>
      <c r="V223" s="8" t="n">
        <f aca="false">IF(ISNUMBER(F223),ROUND(F223,0),"")</f>
        <v>100</v>
      </c>
      <c r="W223" s="8" t="str">
        <f aca="false">IF(ISNUMBER(J223),ROUND(J223,0),"")</f>
        <v/>
      </c>
      <c r="X223" s="8" t="str">
        <f aca="false">IF(ISNUMBER(N223),ROUND(N223,0),"")</f>
        <v/>
      </c>
      <c r="Y223" s="4" t="str">
        <f aca="false">IF(AND($A223=$A224,V223=100,V224=100),"full access","")</f>
        <v/>
      </c>
      <c r="Z223" s="4" t="str">
        <f aca="false">IF(AND($A223=$A224,W223=100,W224=100),"full access","")</f>
        <v/>
      </c>
      <c r="AA223" s="4" t="str">
        <f aca="false">IF(AND($A223=$A224,X223=100,X224=100),"full access","")</f>
        <v/>
      </c>
      <c r="AB223" s="9" t="str">
        <f aca="false">IF(AND(ISNUMBER(T223),ISNUMBER(U223)),T223-U223,"")</f>
        <v/>
      </c>
    </row>
    <row r="224" customFormat="false" ht="15" hidden="false" customHeight="false" outlineLevel="0" collapsed="false">
      <c r="A224" s="10" t="s">
        <v>194</v>
      </c>
      <c r="B224" s="10" t="str">
        <f aca="false">IFERROR(INDEX('Region Lookup'!$B$2:$B$233,MATCH(A224,'Region Lookup'!$A$2:$A$233,0)),"Not found")</f>
        <v>Europe &amp; Central Asia</v>
      </c>
      <c r="C224" s="10" t="n">
        <v>2015</v>
      </c>
      <c r="D224" s="11" t="n">
        <v>5959.125977</v>
      </c>
      <c r="E224" s="12" t="n">
        <v>35.77700043</v>
      </c>
      <c r="F224" s="12" t="n">
        <v>88.44176125</v>
      </c>
      <c r="G224" s="12" t="n">
        <v>1.789935836</v>
      </c>
      <c r="H224" s="12" t="n">
        <v>2.248062905</v>
      </c>
      <c r="I224" s="12" t="n">
        <v>7.520240013</v>
      </c>
      <c r="J224" s="12" t="n">
        <v>83.10521764</v>
      </c>
      <c r="K224" s="12" t="n">
        <v>2.415973654</v>
      </c>
      <c r="L224" s="12" t="n">
        <v>3.353168783</v>
      </c>
      <c r="M224" s="12" t="n">
        <v>11.12563993</v>
      </c>
      <c r="N224" s="12" t="n">
        <v>98.02134645</v>
      </c>
      <c r="O224" s="12" t="n">
        <v>0.6661405372</v>
      </c>
      <c r="P224" s="12" t="n">
        <v>0.2642965036</v>
      </c>
      <c r="Q224" s="12" t="n">
        <v>1.04821651</v>
      </c>
      <c r="R224" s="13" t="n">
        <f aca="false">IF($A224=$A225,$C225-$C224,"")</f>
        <v>5</v>
      </c>
      <c r="S224" s="14" t="n">
        <f aca="false">IF(AND($A224=$A225,ISNUMBER(F224),ISNUMBER(F225)),(F225-F224)/($C225-$C224),"")</f>
        <v>0.651508794</v>
      </c>
      <c r="T224" s="14" t="n">
        <f aca="false">IF(AND($A224=$A225,ISNUMBER(J224),ISNUMBER(J225)),(J225-J224)/($C225-$C224),"")</f>
        <v>0.830642272</v>
      </c>
      <c r="U224" s="14" t="n">
        <f aca="false">IF(AND($A224=$A225,ISNUMBER(N224),ISNUMBER(N225)),(N225-N224)/($C225-$C224),"")</f>
        <v>0.257269171999999</v>
      </c>
      <c r="V224" s="13" t="n">
        <f aca="false">IF(ISNUMBER(F224),ROUND(F224,0),"")</f>
        <v>88</v>
      </c>
      <c r="W224" s="13" t="n">
        <f aca="false">IF(ISNUMBER(J224),ROUND(J224,0),"")</f>
        <v>83</v>
      </c>
      <c r="X224" s="13" t="n">
        <f aca="false">IF(ISNUMBER(N224),ROUND(N224,0),"")</f>
        <v>98</v>
      </c>
      <c r="Y224" s="10" t="str">
        <f aca="false">IF(AND($A224=$A225,V224=100,V225=100),"full access","")</f>
        <v/>
      </c>
      <c r="Z224" s="10" t="str">
        <f aca="false">IF(AND($A224=$A225,W224=100,W225=100),"full access","")</f>
        <v/>
      </c>
      <c r="AA224" s="10" t="str">
        <f aca="false">IF(AND($A224=$A225,X224=100,X225=100),"full access","")</f>
        <v/>
      </c>
      <c r="AB224" s="14" t="n">
        <f aca="false">IF(AND(ISNUMBER(T224),ISNUMBER(U224)),T224-U224,"")</f>
        <v>0.573373100000001</v>
      </c>
    </row>
    <row r="225" customFormat="false" ht="15" hidden="false" customHeight="false" outlineLevel="0" collapsed="false">
      <c r="A225" s="10" t="s">
        <v>194</v>
      </c>
      <c r="B225" s="10" t="str">
        <f aca="false">IFERROR(INDEX('Region Lookup'!$B$2:$B$233,MATCH(A225,'Region Lookup'!$A$2:$A$233,0)),"Not found")</f>
        <v>Europe &amp; Central Asia</v>
      </c>
      <c r="C225" s="10" t="n">
        <v>2020</v>
      </c>
      <c r="D225" s="11" t="n">
        <v>6524.190918</v>
      </c>
      <c r="E225" s="12" t="n">
        <v>36.85599899</v>
      </c>
      <c r="F225" s="12" t="n">
        <v>91.69930522</v>
      </c>
      <c r="G225" s="12" t="n">
        <v>1.900734111</v>
      </c>
      <c r="H225" s="12" t="n">
        <v>1.8656487</v>
      </c>
      <c r="I225" s="12" t="n">
        <v>4.534311965</v>
      </c>
      <c r="J225" s="12" t="n">
        <v>87.258429</v>
      </c>
      <c r="K225" s="12" t="n">
        <v>2.606070485</v>
      </c>
      <c r="L225" s="12" t="n">
        <v>2.954593684</v>
      </c>
      <c r="M225" s="12" t="n">
        <v>7.180906832</v>
      </c>
      <c r="N225" s="12" t="n">
        <v>99.30769231</v>
      </c>
      <c r="O225" s="12" t="n">
        <v>0.6923076923</v>
      </c>
      <c r="P225" s="12" t="n">
        <v>0</v>
      </c>
      <c r="Q225" s="12" t="n">
        <v>0</v>
      </c>
      <c r="R225" s="13" t="str">
        <f aca="false">IF($A225=$A226,$C226-$C225,"")</f>
        <v/>
      </c>
      <c r="S225" s="14" t="str">
        <f aca="false">IF(AND($A225=$A226,ISNUMBER(F225),ISNUMBER(F226)),(F226-F225)/($C226-$C225),"")</f>
        <v/>
      </c>
      <c r="T225" s="14" t="str">
        <f aca="false">IF(AND($A225=$A226,ISNUMBER(J225),ISNUMBER(J226)),(J226-J225)/($C226-$C225),"")</f>
        <v/>
      </c>
      <c r="U225" s="14" t="str">
        <f aca="false">IF(AND($A225=$A226,ISNUMBER(N225),ISNUMBER(N226)),(N226-N225)/($C226-$C225),"")</f>
        <v/>
      </c>
      <c r="V225" s="13" t="n">
        <f aca="false">IF(ISNUMBER(F225),ROUND(F225,0),"")</f>
        <v>92</v>
      </c>
      <c r="W225" s="13" t="n">
        <f aca="false">IF(ISNUMBER(J225),ROUND(J225,0),"")</f>
        <v>87</v>
      </c>
      <c r="X225" s="13" t="n">
        <f aca="false">IF(ISNUMBER(N225),ROUND(N225,0),"")</f>
        <v>99</v>
      </c>
      <c r="Y225" s="10" t="str">
        <f aca="false">IF(AND($A225=$A226,V225=100,V226=100),"full access","")</f>
        <v/>
      </c>
      <c r="Z225" s="10" t="str">
        <f aca="false">IF(AND($A225=$A226,W225=100,W226=100),"full access","")</f>
        <v/>
      </c>
      <c r="AA225" s="10" t="str">
        <f aca="false">IF(AND($A225=$A226,X225=100,X226=100),"full access","")</f>
        <v/>
      </c>
      <c r="AB225" s="14" t="str">
        <f aca="false">IF(AND(ISNUMBER(T225),ISNUMBER(U225)),T225-U225,"")</f>
        <v/>
      </c>
    </row>
    <row r="226" customFormat="false" ht="15" hidden="false" customHeight="false" outlineLevel="0" collapsed="false">
      <c r="A226" s="4" t="s">
        <v>195</v>
      </c>
      <c r="B226" s="4" t="str">
        <f aca="false">IFERROR(INDEX('Region Lookup'!$B$2:$B$233,MATCH(A226,'Region Lookup'!$A$2:$A$233,0)),"Not found")</f>
        <v>East Asia &amp; Pacific</v>
      </c>
      <c r="C226" s="4" t="n">
        <v>2015</v>
      </c>
      <c r="D226" s="6" t="n">
        <v>6741.160156</v>
      </c>
      <c r="E226" s="7" t="n">
        <v>33.10799789</v>
      </c>
      <c r="F226" s="7" t="n">
        <v>77.46057221</v>
      </c>
      <c r="G226" s="7" t="n">
        <v>3.052340334</v>
      </c>
      <c r="H226" s="7" t="n">
        <v>14.22792235</v>
      </c>
      <c r="I226" s="7" t="n">
        <v>5.259165108</v>
      </c>
      <c r="J226" s="7" t="n">
        <v>70.23968655</v>
      </c>
      <c r="K226" s="7" t="n">
        <v>4.170293363</v>
      </c>
      <c r="L226" s="7" t="n">
        <v>18.20222139</v>
      </c>
      <c r="M226" s="7" t="n">
        <v>7.387798694</v>
      </c>
      <c r="N226" s="7" t="n">
        <v>92.04977998</v>
      </c>
      <c r="O226" s="7" t="n">
        <v>0.793607849</v>
      </c>
      <c r="P226" s="7" t="n">
        <v>6.198176795</v>
      </c>
      <c r="Q226" s="7" t="n">
        <v>0.9584353711</v>
      </c>
      <c r="R226" s="8" t="n">
        <f aca="false">IF($A226=$A227,$C227-$C226,"")</f>
        <v>5</v>
      </c>
      <c r="S226" s="9" t="n">
        <f aca="false">IF(AND($A226=$A227,ISNUMBER(F226),ISNUMBER(F227)),(F227-F226)/($C227-$C226),"")</f>
        <v>1.551834194</v>
      </c>
      <c r="T226" s="9" t="n">
        <f aca="false">IF(AND($A226=$A227,ISNUMBER(J226),ISNUMBER(J227)),(J227-J226)/($C227-$C226),"")</f>
        <v>1.646654574</v>
      </c>
      <c r="U226" s="9" t="n">
        <f aca="false">IF(AND($A226=$A227,ISNUMBER(N226),ISNUMBER(N227)),(N227-N226)/($C227-$C226),"")</f>
        <v>1.002896448</v>
      </c>
      <c r="V226" s="8" t="n">
        <f aca="false">IF(ISNUMBER(F226),ROUND(F226,0),"")</f>
        <v>77</v>
      </c>
      <c r="W226" s="8" t="n">
        <f aca="false">IF(ISNUMBER(J226),ROUND(J226,0),"")</f>
        <v>70</v>
      </c>
      <c r="X226" s="8" t="n">
        <f aca="false">IF(ISNUMBER(N226),ROUND(N226,0),"")</f>
        <v>92</v>
      </c>
      <c r="Y226" s="4" t="str">
        <f aca="false">IF(AND($A226=$A227,V226=100,V227=100),"full access","")</f>
        <v/>
      </c>
      <c r="Z226" s="4" t="str">
        <f aca="false">IF(AND($A226=$A227,W226=100,W227=100),"full access","")</f>
        <v/>
      </c>
      <c r="AA226" s="4" t="str">
        <f aca="false">IF(AND($A226=$A227,X226=100,X227=100),"full access","")</f>
        <v/>
      </c>
      <c r="AB226" s="9" t="n">
        <f aca="false">IF(AND(ISNUMBER(T226),ISNUMBER(U226)),T226-U226,"")</f>
        <v>0.643758125999997</v>
      </c>
    </row>
    <row r="227" customFormat="false" ht="15" hidden="false" customHeight="false" outlineLevel="0" collapsed="false">
      <c r="A227" s="4" t="s">
        <v>195</v>
      </c>
      <c r="B227" s="4" t="str">
        <f aca="false">IFERROR(INDEX('Region Lookup'!$B$2:$B$233,MATCH(A227,'Region Lookup'!$A$2:$A$233,0)),"Not found")</f>
        <v>East Asia &amp; Pacific</v>
      </c>
      <c r="C227" s="4" t="n">
        <v>2020</v>
      </c>
      <c r="D227" s="6" t="n">
        <v>7275.556152</v>
      </c>
      <c r="E227" s="7" t="n">
        <v>36.29000092</v>
      </c>
      <c r="F227" s="7" t="n">
        <v>85.21974318</v>
      </c>
      <c r="G227" s="7" t="n">
        <v>3.566857739</v>
      </c>
      <c r="H227" s="7" t="n">
        <v>10.62886799</v>
      </c>
      <c r="I227" s="7" t="n">
        <v>0.5845310938</v>
      </c>
      <c r="J227" s="7" t="n">
        <v>78.47295942</v>
      </c>
      <c r="K227" s="7" t="n">
        <v>5.598583786</v>
      </c>
      <c r="L227" s="7" t="n">
        <v>15.0109696</v>
      </c>
      <c r="M227" s="7" t="n">
        <v>0.9174871957</v>
      </c>
      <c r="N227" s="7" t="n">
        <v>97.06426222</v>
      </c>
      <c r="O227" s="7" t="n">
        <v>0</v>
      </c>
      <c r="P227" s="7" t="n">
        <v>2.935737778</v>
      </c>
      <c r="Q227" s="7" t="n">
        <v>0</v>
      </c>
      <c r="R227" s="8" t="str">
        <f aca="false">IF($A227=$A228,$C228-$C227,"")</f>
        <v/>
      </c>
      <c r="S227" s="9" t="str">
        <f aca="false">IF(AND($A227=$A228,ISNUMBER(F227),ISNUMBER(F228)),(F228-F227)/($C228-$C227),"")</f>
        <v/>
      </c>
      <c r="T227" s="9" t="str">
        <f aca="false">IF(AND($A227=$A228,ISNUMBER(J227),ISNUMBER(J228)),(J228-J227)/($C228-$C227),"")</f>
        <v/>
      </c>
      <c r="U227" s="9" t="str">
        <f aca="false">IF(AND($A227=$A228,ISNUMBER(N227),ISNUMBER(N228)),(N228-N227)/($C228-$C227),"")</f>
        <v/>
      </c>
      <c r="V227" s="8" t="n">
        <f aca="false">IF(ISNUMBER(F227),ROUND(F227,0),"")</f>
        <v>85</v>
      </c>
      <c r="W227" s="8" t="n">
        <f aca="false">IF(ISNUMBER(J227),ROUND(J227,0),"")</f>
        <v>78</v>
      </c>
      <c r="X227" s="8" t="n">
        <f aca="false">IF(ISNUMBER(N227),ROUND(N227,0),"")</f>
        <v>97</v>
      </c>
      <c r="Y227" s="4" t="str">
        <f aca="false">IF(AND($A227=$A228,V227=100,V228=100),"full access","")</f>
        <v/>
      </c>
      <c r="Z227" s="4" t="str">
        <f aca="false">IF(AND($A227=$A228,W227=100,W228=100),"full access","")</f>
        <v/>
      </c>
      <c r="AA227" s="4" t="str">
        <f aca="false">IF(AND($A227=$A228,X227=100,X228=100),"full access","")</f>
        <v/>
      </c>
      <c r="AB227" s="9" t="str">
        <f aca="false">IF(AND(ISNUMBER(T227),ISNUMBER(U227)),T227-U227,"")</f>
        <v/>
      </c>
    </row>
    <row r="228" customFormat="false" ht="15" hidden="false" customHeight="false" outlineLevel="0" collapsed="false">
      <c r="A228" s="10" t="s">
        <v>196</v>
      </c>
      <c r="B228" s="10" t="str">
        <f aca="false">IFERROR(INDEX('Region Lookup'!$B$2:$B$233,MATCH(A228,'Region Lookup'!$A$2:$A$233,0)),"Not found")</f>
        <v>Europe &amp; Central Asia</v>
      </c>
      <c r="C228" s="10" t="n">
        <v>2015</v>
      </c>
      <c r="D228" s="11" t="n">
        <v>1997.675049</v>
      </c>
      <c r="E228" s="12" t="n">
        <v>67.97999573</v>
      </c>
      <c r="F228" s="12" t="n">
        <v>98.52511728</v>
      </c>
      <c r="G228" s="12" t="n">
        <v>0.6787074231</v>
      </c>
      <c r="H228" s="12" t="n">
        <v>0.7961752931</v>
      </c>
      <c r="I228" s="12" t="n">
        <v>0</v>
      </c>
      <c r="J228" s="12" t="n">
        <v>97.85471901</v>
      </c>
      <c r="K228" s="12" t="n">
        <v>0</v>
      </c>
      <c r="L228" s="12" t="n">
        <v>2.145280992</v>
      </c>
      <c r="M228" s="12" t="n">
        <v>0</v>
      </c>
      <c r="N228" s="12" t="n">
        <v>98.84089334</v>
      </c>
      <c r="O228" s="12" t="n">
        <v>0.998392862</v>
      </c>
      <c r="P228" s="12" t="n">
        <v>0.1607138001</v>
      </c>
      <c r="Q228" s="12" t="n">
        <v>0</v>
      </c>
      <c r="R228" s="13" t="n">
        <f aca="false">IF($A228=$A229,$C229-$C228,"")</f>
        <v>5</v>
      </c>
      <c r="S228" s="14" t="n">
        <f aca="false">IF(AND($A228=$A229,ISNUMBER(F228),ISNUMBER(F229)),(F229-F228)/($C229-$C228),"")</f>
        <v>0.0514967740000003</v>
      </c>
      <c r="T228" s="14" t="n">
        <f aca="false">IF(AND($A228=$A229,ISNUMBER(J228),ISNUMBER(J229)),(J229-J228)/($C229-$C228),"")</f>
        <v>0.144900826</v>
      </c>
      <c r="U228" s="14" t="n">
        <f aca="false">IF(AND($A228=$A229,ISNUMBER(N228),ISNUMBER(N229)),(N229-N228)/($C229-$C228),"")</f>
        <v>0.00720627000000036</v>
      </c>
      <c r="V228" s="13" t="n">
        <f aca="false">IF(ISNUMBER(F228),ROUND(F228,0),"")</f>
        <v>99</v>
      </c>
      <c r="W228" s="13" t="n">
        <f aca="false">IF(ISNUMBER(J228),ROUND(J228,0),"")</f>
        <v>98</v>
      </c>
      <c r="X228" s="13" t="n">
        <f aca="false">IF(ISNUMBER(N228),ROUND(N228,0),"")</f>
        <v>99</v>
      </c>
      <c r="Y228" s="10" t="str">
        <f aca="false">IF(AND($A228=$A229,V228=100,V229=100),"full access","")</f>
        <v/>
      </c>
      <c r="Z228" s="10" t="str">
        <f aca="false">IF(AND($A228=$A229,W228=100,W229=100),"full access","")</f>
        <v/>
      </c>
      <c r="AA228" s="10" t="str">
        <f aca="false">IF(AND($A228=$A229,X228=100,X229=100),"full access","")</f>
        <v/>
      </c>
      <c r="AB228" s="14" t="n">
        <f aca="false">IF(AND(ISNUMBER(T228),ISNUMBER(U228)),T228-U228,"")</f>
        <v>0.137694556</v>
      </c>
    </row>
    <row r="229" customFormat="false" ht="15" hidden="false" customHeight="false" outlineLevel="0" collapsed="false">
      <c r="A229" s="10" t="s">
        <v>196</v>
      </c>
      <c r="B229" s="10" t="str">
        <f aca="false">IFERROR(INDEX('Region Lookup'!$B$2:$B$233,MATCH(A229,'Region Lookup'!$A$2:$A$233,0)),"Not found")</f>
        <v>Europe &amp; Central Asia</v>
      </c>
      <c r="C229" s="10" t="n">
        <v>2020</v>
      </c>
      <c r="D229" s="11" t="n">
        <v>1886.202026</v>
      </c>
      <c r="E229" s="12" t="n">
        <v>68.31500244</v>
      </c>
      <c r="F229" s="12" t="n">
        <v>98.78260115</v>
      </c>
      <c r="G229" s="12" t="n">
        <v>0.6823007424</v>
      </c>
      <c r="H229" s="12" t="n">
        <v>0.5350981037</v>
      </c>
      <c r="I229" s="12" t="n">
        <v>0</v>
      </c>
      <c r="J229" s="12" t="n">
        <v>98.57922314</v>
      </c>
      <c r="K229" s="12" t="n">
        <v>0</v>
      </c>
      <c r="L229" s="12" t="n">
        <v>1.42077686</v>
      </c>
      <c r="M229" s="12" t="n">
        <v>0</v>
      </c>
      <c r="N229" s="12" t="n">
        <v>98.87692469</v>
      </c>
      <c r="O229" s="12" t="n">
        <v>0.9987568151</v>
      </c>
      <c r="P229" s="12" t="n">
        <v>0.1243184908</v>
      </c>
      <c r="Q229" s="12" t="n">
        <v>0</v>
      </c>
      <c r="R229" s="13" t="str">
        <f aca="false">IF($A229=$A230,$C230-$C229,"")</f>
        <v/>
      </c>
      <c r="S229" s="14" t="str">
        <f aca="false">IF(AND($A229=$A230,ISNUMBER(F229),ISNUMBER(F230)),(F230-F229)/($C230-$C229),"")</f>
        <v/>
      </c>
      <c r="T229" s="14" t="str">
        <f aca="false">IF(AND($A229=$A230,ISNUMBER(J229),ISNUMBER(J230)),(J230-J229)/($C230-$C229),"")</f>
        <v/>
      </c>
      <c r="U229" s="14" t="str">
        <f aca="false">IF(AND($A229=$A230,ISNUMBER(N229),ISNUMBER(N230)),(N230-N229)/($C230-$C229),"")</f>
        <v/>
      </c>
      <c r="V229" s="13" t="n">
        <f aca="false">IF(ISNUMBER(F229),ROUND(F229,0),"")</f>
        <v>99</v>
      </c>
      <c r="W229" s="13" t="n">
        <f aca="false">IF(ISNUMBER(J229),ROUND(J229,0),"")</f>
        <v>99</v>
      </c>
      <c r="X229" s="13" t="n">
        <f aca="false">IF(ISNUMBER(N229),ROUND(N229,0),"")</f>
        <v>99</v>
      </c>
      <c r="Y229" s="10" t="str">
        <f aca="false">IF(AND($A229=$A230,V229=100,V230=100),"full access","")</f>
        <v/>
      </c>
      <c r="Z229" s="10" t="str">
        <f aca="false">IF(AND($A229=$A230,W229=100,W230=100),"full access","")</f>
        <v/>
      </c>
      <c r="AA229" s="10" t="str">
        <f aca="false">IF(AND($A229=$A230,X229=100,X230=100),"full access","")</f>
        <v/>
      </c>
      <c r="AB229" s="14" t="str">
        <f aca="false">IF(AND(ISNUMBER(T229),ISNUMBER(U229)),T229-U229,"")</f>
        <v/>
      </c>
    </row>
    <row r="230" customFormat="false" ht="15" hidden="false" customHeight="false" outlineLevel="0" collapsed="false">
      <c r="A230" s="4" t="s">
        <v>197</v>
      </c>
      <c r="B230" s="4" t="str">
        <f aca="false">IFERROR(INDEX('Region Lookup'!$B$2:$B$233,MATCH(A230,'Region Lookup'!$A$2:$A$233,0)),"Not found")</f>
        <v>Middle East &amp; North Africa</v>
      </c>
      <c r="C230" s="4" t="n">
        <v>2015</v>
      </c>
      <c r="D230" s="6" t="n">
        <v>6532.681152</v>
      </c>
      <c r="E230" s="7" t="n">
        <v>88.10600281</v>
      </c>
      <c r="F230" s="7" t="n">
        <v>91.22432251</v>
      </c>
      <c r="G230" s="7" t="n">
        <v>7.29006465</v>
      </c>
      <c r="H230" s="7" t="n">
        <v>1.34019284</v>
      </c>
      <c r="I230" s="7" t="n">
        <v>0.14542</v>
      </c>
      <c r="J230" s="7"/>
      <c r="K230" s="7"/>
      <c r="L230" s="7"/>
      <c r="M230" s="7"/>
      <c r="N230" s="7"/>
      <c r="O230" s="7"/>
      <c r="P230" s="7"/>
      <c r="Q230" s="7"/>
      <c r="R230" s="8" t="n">
        <f aca="false">IF($A230=$A231,$C231-$C230,"")</f>
        <v>5</v>
      </c>
      <c r="S230" s="9" t="n">
        <f aca="false">IF(AND($A230=$A231,ISNUMBER(F230),ISNUMBER(F231)),(F231-F230)/($C231-$C230),"")</f>
        <v>0.275135498</v>
      </c>
      <c r="T230" s="9" t="str">
        <f aca="false">IF(AND($A230=$A231,ISNUMBER(J230),ISNUMBER(J231)),(J231-J230)/($C231-$C230),"")</f>
        <v/>
      </c>
      <c r="U230" s="9" t="str">
        <f aca="false">IF(AND($A230=$A231,ISNUMBER(N230),ISNUMBER(N231)),(N231-N230)/($C231-$C230),"")</f>
        <v/>
      </c>
      <c r="V230" s="8" t="n">
        <f aca="false">IF(ISNUMBER(F230),ROUND(F230,0),"")</f>
        <v>91</v>
      </c>
      <c r="W230" s="8" t="str">
        <f aca="false">IF(ISNUMBER(J230),ROUND(J230,0),"")</f>
        <v/>
      </c>
      <c r="X230" s="8" t="str">
        <f aca="false">IF(ISNUMBER(N230),ROUND(N230,0),"")</f>
        <v/>
      </c>
      <c r="Y230" s="4" t="str">
        <f aca="false">IF(AND($A230=$A231,V230=100,V231=100),"full access","")</f>
        <v/>
      </c>
      <c r="Z230" s="4" t="str">
        <f aca="false">IF(AND($A230=$A231,W230=100,W231=100),"full access","")</f>
        <v/>
      </c>
      <c r="AA230" s="4" t="str">
        <f aca="false">IF(AND($A230=$A231,X230=100,X231=100),"full access","")</f>
        <v/>
      </c>
      <c r="AB230" s="9" t="str">
        <f aca="false">IF(AND(ISNUMBER(T230),ISNUMBER(U230)),T230-U230,"")</f>
        <v/>
      </c>
    </row>
    <row r="231" customFormat="false" ht="15" hidden="false" customHeight="false" outlineLevel="0" collapsed="false">
      <c r="A231" s="4" t="s">
        <v>197</v>
      </c>
      <c r="B231" s="4" t="str">
        <f aca="false">IFERROR(INDEX('Region Lookup'!$B$2:$B$233,MATCH(A231,'Region Lookup'!$A$2:$A$233,0)),"Not found")</f>
        <v>Middle East &amp; North Africa</v>
      </c>
      <c r="C231" s="4" t="n">
        <v>2020</v>
      </c>
      <c r="D231" s="6" t="n">
        <v>6825.441895</v>
      </c>
      <c r="E231" s="7" t="n">
        <v>88.92499542</v>
      </c>
      <c r="F231" s="7" t="n">
        <v>92.6</v>
      </c>
      <c r="G231" s="7" t="n">
        <v>7.4</v>
      </c>
      <c r="H231" s="7" t="n">
        <v>0</v>
      </c>
      <c r="I231" s="7" t="n">
        <v>0</v>
      </c>
      <c r="J231" s="7"/>
      <c r="K231" s="7"/>
      <c r="L231" s="7"/>
      <c r="M231" s="7"/>
      <c r="N231" s="7"/>
      <c r="O231" s="7"/>
      <c r="P231" s="7"/>
      <c r="Q231" s="7"/>
      <c r="R231" s="8" t="str">
        <f aca="false">IF($A231=$A232,$C232-$C231,"")</f>
        <v/>
      </c>
      <c r="S231" s="9" t="str">
        <f aca="false">IF(AND($A231=$A232,ISNUMBER(F231),ISNUMBER(F232)),(F232-F231)/($C232-$C231),"")</f>
        <v/>
      </c>
      <c r="T231" s="9" t="str">
        <f aca="false">IF(AND($A231=$A232,ISNUMBER(J231),ISNUMBER(J232)),(J232-J231)/($C232-$C231),"")</f>
        <v/>
      </c>
      <c r="U231" s="9" t="str">
        <f aca="false">IF(AND($A231=$A232,ISNUMBER(N231),ISNUMBER(N232)),(N232-N231)/($C232-$C231),"")</f>
        <v/>
      </c>
      <c r="V231" s="8" t="n">
        <f aca="false">IF(ISNUMBER(F231),ROUND(F231,0),"")</f>
        <v>93</v>
      </c>
      <c r="W231" s="8" t="str">
        <f aca="false">IF(ISNUMBER(J231),ROUND(J231,0),"")</f>
        <v/>
      </c>
      <c r="X231" s="8" t="str">
        <f aca="false">IF(ISNUMBER(N231),ROUND(N231,0),"")</f>
        <v/>
      </c>
      <c r="Y231" s="4" t="str">
        <f aca="false">IF(AND($A231=$A232,V231=100,V232=100),"full access","")</f>
        <v/>
      </c>
      <c r="Z231" s="4" t="str">
        <f aca="false">IF(AND($A231=$A232,W231=100,W232=100),"full access","")</f>
        <v/>
      </c>
      <c r="AA231" s="4" t="str">
        <f aca="false">IF(AND($A231=$A232,X231=100,X232=100),"full access","")</f>
        <v/>
      </c>
      <c r="AB231" s="9" t="str">
        <f aca="false">IF(AND(ISNUMBER(T231),ISNUMBER(U231)),T231-U231,"")</f>
        <v/>
      </c>
    </row>
    <row r="232" customFormat="false" ht="15" hidden="false" customHeight="false" outlineLevel="0" collapsed="false">
      <c r="A232" s="10" t="s">
        <v>198</v>
      </c>
      <c r="B232" s="10" t="str">
        <f aca="false">IFERROR(INDEX('Region Lookup'!$B$2:$B$233,MATCH(A232,'Region Lookup'!$A$2:$A$233,0)),"Not found")</f>
        <v>Sub-Saharan Africa</v>
      </c>
      <c r="C232" s="10" t="n">
        <v>2015</v>
      </c>
      <c r="D232" s="11" t="n">
        <v>2059.010986</v>
      </c>
      <c r="E232" s="12" t="n">
        <v>26.90800095</v>
      </c>
      <c r="F232" s="12" t="n">
        <v>70.5456894</v>
      </c>
      <c r="G232" s="12" t="n">
        <v>10.86331049</v>
      </c>
      <c r="H232" s="12" t="n">
        <v>14.5343829</v>
      </c>
      <c r="I232" s="12" t="n">
        <v>4.056617208</v>
      </c>
      <c r="J232" s="12" t="n">
        <v>63.42088315</v>
      </c>
      <c r="K232" s="12" t="n">
        <v>13.04933941</v>
      </c>
      <c r="L232" s="12" t="n">
        <v>18.16490493</v>
      </c>
      <c r="M232" s="12" t="n">
        <v>5.364872511</v>
      </c>
      <c r="N232" s="12" t="n">
        <v>89.89927614</v>
      </c>
      <c r="O232" s="12" t="n">
        <v>4.925254235</v>
      </c>
      <c r="P232" s="12" t="n">
        <v>4.672553616</v>
      </c>
      <c r="Q232" s="12" t="n">
        <v>0.502916007</v>
      </c>
      <c r="R232" s="13" t="n">
        <f aca="false">IF($A232=$A233,$C233-$C232,"")</f>
        <v>5</v>
      </c>
      <c r="S232" s="14" t="n">
        <f aca="false">IF(AND($A232=$A233,ISNUMBER(F232),ISNUMBER(F233)),(F233-F232)/($C233-$C232),"")</f>
        <v>0.326069974000001</v>
      </c>
      <c r="T232" s="14" t="n">
        <f aca="false">IF(AND($A232=$A233,ISNUMBER(J232),ISNUMBER(J233)),(J233-J232)/($C233-$C232),"")</f>
        <v>0.0458943339999991</v>
      </c>
      <c r="U232" s="14" t="n">
        <f aca="false">IF(AND($A232=$A233,ISNUMBER(N232),ISNUMBER(N233)),(N233-N232)/($C233-$C232),"")</f>
        <v>0.624326482000001</v>
      </c>
      <c r="V232" s="13" t="n">
        <f aca="false">IF(ISNUMBER(F232),ROUND(F232,0),"")</f>
        <v>71</v>
      </c>
      <c r="W232" s="13" t="n">
        <f aca="false">IF(ISNUMBER(J232),ROUND(J232,0),"")</f>
        <v>63</v>
      </c>
      <c r="X232" s="13" t="n">
        <f aca="false">IF(ISNUMBER(N232),ROUND(N232,0),"")</f>
        <v>90</v>
      </c>
      <c r="Y232" s="10" t="str">
        <f aca="false">IF(AND($A232=$A233,V232=100,V233=100),"full access","")</f>
        <v/>
      </c>
      <c r="Z232" s="10" t="str">
        <f aca="false">IF(AND($A232=$A233,W232=100,W233=100),"full access","")</f>
        <v/>
      </c>
      <c r="AA232" s="10" t="str">
        <f aca="false">IF(AND($A232=$A233,X232=100,X233=100),"full access","")</f>
        <v/>
      </c>
      <c r="AB232" s="14" t="n">
        <f aca="false">IF(AND(ISNUMBER(T232),ISNUMBER(U232)),T232-U232,"")</f>
        <v>-0.578432148000002</v>
      </c>
    </row>
    <row r="233" customFormat="false" ht="15" hidden="false" customHeight="false" outlineLevel="0" collapsed="false">
      <c r="A233" s="10" t="s">
        <v>198</v>
      </c>
      <c r="B233" s="10" t="str">
        <f aca="false">IFERROR(INDEX('Region Lookup'!$B$2:$B$233,MATCH(A233,'Region Lookup'!$A$2:$A$233,0)),"Not found")</f>
        <v>Sub-Saharan Africa</v>
      </c>
      <c r="C233" s="10" t="n">
        <v>2020</v>
      </c>
      <c r="D233" s="11" t="n">
        <v>2142.251953</v>
      </c>
      <c r="E233" s="12" t="n">
        <v>29.02799988</v>
      </c>
      <c r="F233" s="12" t="n">
        <v>72.17603927</v>
      </c>
      <c r="G233" s="12" t="n">
        <v>10.40592597</v>
      </c>
      <c r="H233" s="12" t="n">
        <v>12.21725464</v>
      </c>
      <c r="I233" s="12" t="n">
        <v>5.200780116</v>
      </c>
      <c r="J233" s="12" t="n">
        <v>63.65035482</v>
      </c>
      <c r="K233" s="12" t="n">
        <v>13.55843013</v>
      </c>
      <c r="L233" s="12" t="n">
        <v>15.73132479</v>
      </c>
      <c r="M233" s="12" t="n">
        <v>7.059890254</v>
      </c>
      <c r="N233" s="12" t="n">
        <v>93.02090855</v>
      </c>
      <c r="O233" s="12" t="n">
        <v>2.698211997</v>
      </c>
      <c r="P233" s="12" t="n">
        <v>3.625530038</v>
      </c>
      <c r="Q233" s="12" t="n">
        <v>0.65534942</v>
      </c>
      <c r="R233" s="13" t="str">
        <f aca="false">IF($A233=$A234,$C234-$C233,"")</f>
        <v/>
      </c>
      <c r="S233" s="14" t="str">
        <f aca="false">IF(AND($A233=$A234,ISNUMBER(F233),ISNUMBER(F234)),(F234-F233)/($C234-$C233),"")</f>
        <v/>
      </c>
      <c r="T233" s="14" t="str">
        <f aca="false">IF(AND($A233=$A234,ISNUMBER(J233),ISNUMBER(J234)),(J234-J233)/($C234-$C233),"")</f>
        <v/>
      </c>
      <c r="U233" s="14" t="str">
        <f aca="false">IF(AND($A233=$A234,ISNUMBER(N233),ISNUMBER(N234)),(N234-N233)/($C234-$C233),"")</f>
        <v/>
      </c>
      <c r="V233" s="13" t="n">
        <f aca="false">IF(ISNUMBER(F233),ROUND(F233,0),"")</f>
        <v>72</v>
      </c>
      <c r="W233" s="13" t="n">
        <f aca="false">IF(ISNUMBER(J233),ROUND(J233,0),"")</f>
        <v>64</v>
      </c>
      <c r="X233" s="13" t="n">
        <f aca="false">IF(ISNUMBER(N233),ROUND(N233,0),"")</f>
        <v>93</v>
      </c>
      <c r="Y233" s="10" t="str">
        <f aca="false">IF(AND($A233=$A234,V233=100,V234=100),"full access","")</f>
        <v/>
      </c>
      <c r="Z233" s="10" t="str">
        <f aca="false">IF(AND($A233=$A234,W233=100,W234=100),"full access","")</f>
        <v/>
      </c>
      <c r="AA233" s="10" t="str">
        <f aca="false">IF(AND($A233=$A234,X233=100,X234=100),"full access","")</f>
        <v/>
      </c>
      <c r="AB233" s="14" t="str">
        <f aca="false">IF(AND(ISNUMBER(T233),ISNUMBER(U233)),T233-U233,"")</f>
        <v/>
      </c>
    </row>
    <row r="234" customFormat="false" ht="15" hidden="false" customHeight="false" outlineLevel="0" collapsed="false">
      <c r="A234" s="4" t="s">
        <v>199</v>
      </c>
      <c r="B234" s="4" t="str">
        <f aca="false">IFERROR(INDEX('Region Lookup'!$B$2:$B$233,MATCH(A234,'Region Lookup'!$A$2:$A$233,0)),"Not found")</f>
        <v>Sub-Saharan Africa</v>
      </c>
      <c r="C234" s="4" t="n">
        <v>2015</v>
      </c>
      <c r="D234" s="6" t="n">
        <v>4472.229004</v>
      </c>
      <c r="E234" s="7" t="n">
        <v>49.81999969</v>
      </c>
      <c r="F234" s="7" t="n">
        <v>72.56979194</v>
      </c>
      <c r="G234" s="7" t="n">
        <v>7.364422679</v>
      </c>
      <c r="H234" s="7" t="n">
        <v>6.537233844</v>
      </c>
      <c r="I234" s="7" t="n">
        <v>13.52855154</v>
      </c>
      <c r="J234" s="7" t="n">
        <v>61.26318196</v>
      </c>
      <c r="K234" s="7" t="n">
        <v>5.126042294</v>
      </c>
      <c r="L234" s="7" t="n">
        <v>7.524148785</v>
      </c>
      <c r="M234" s="7" t="n">
        <v>26.08662696</v>
      </c>
      <c r="N234" s="7" t="n">
        <v>83.95810401</v>
      </c>
      <c r="O234" s="7" t="n">
        <v>9.618977705</v>
      </c>
      <c r="P234" s="7" t="n">
        <v>5.54318741</v>
      </c>
      <c r="Q234" s="7" t="n">
        <v>0.8797308764</v>
      </c>
      <c r="R234" s="8" t="n">
        <f aca="false">IF($A234=$A235,$C235-$C234,"")</f>
        <v>5</v>
      </c>
      <c r="S234" s="9" t="n">
        <f aca="false">IF(AND($A234=$A235,ISNUMBER(F234),ISNUMBER(F235)),(F235-F234)/($C235-$C234),"")</f>
        <v>0.53839993</v>
      </c>
      <c r="T234" s="9" t="n">
        <f aca="false">IF(AND($A234=$A235,ISNUMBER(J234),ISNUMBER(J235)),(J235-J234)/($C235-$C234),"")</f>
        <v>0.567406986</v>
      </c>
      <c r="U234" s="9" t="n">
        <f aca="false">IF(AND($A234=$A235,ISNUMBER(N234),ISNUMBER(N235)),(N235-N234)/($C235-$C234),"")</f>
        <v>0.314001124000001</v>
      </c>
      <c r="V234" s="8" t="n">
        <f aca="false">IF(ISNUMBER(F234),ROUND(F234,0),"")</f>
        <v>73</v>
      </c>
      <c r="W234" s="8" t="n">
        <f aca="false">IF(ISNUMBER(J234),ROUND(J234,0),"")</f>
        <v>61</v>
      </c>
      <c r="X234" s="8" t="n">
        <f aca="false">IF(ISNUMBER(N234),ROUND(N234,0),"")</f>
        <v>84</v>
      </c>
      <c r="Y234" s="4" t="str">
        <f aca="false">IF(AND($A234=$A235,V234=100,V235=100),"full access","")</f>
        <v/>
      </c>
      <c r="Z234" s="4" t="str">
        <f aca="false">IF(AND($A234=$A235,W234=100,W235=100),"full access","")</f>
        <v/>
      </c>
      <c r="AA234" s="4" t="str">
        <f aca="false">IF(AND($A234=$A235,X234=100,X235=100),"full access","")</f>
        <v/>
      </c>
      <c r="AB234" s="9" t="n">
        <f aca="false">IF(AND(ISNUMBER(T234),ISNUMBER(U234)),T234-U234,"")</f>
        <v>0.253405862</v>
      </c>
    </row>
    <row r="235" customFormat="false" ht="15" hidden="false" customHeight="false" outlineLevel="0" collapsed="false">
      <c r="A235" s="4" t="s">
        <v>199</v>
      </c>
      <c r="B235" s="4" t="str">
        <f aca="false">IFERROR(INDEX('Region Lookup'!$B$2:$B$233,MATCH(A235,'Region Lookup'!$A$2:$A$233,0)),"Not found")</f>
        <v>Sub-Saharan Africa</v>
      </c>
      <c r="C235" s="4" t="n">
        <v>2020</v>
      </c>
      <c r="D235" s="6" t="n">
        <v>5057.676758</v>
      </c>
      <c r="E235" s="7" t="n">
        <v>52.08899689</v>
      </c>
      <c r="F235" s="7" t="n">
        <v>75.26179159</v>
      </c>
      <c r="G235" s="7" t="n">
        <v>8.700657475</v>
      </c>
      <c r="H235" s="7" t="n">
        <v>3.488080869</v>
      </c>
      <c r="I235" s="7" t="n">
        <v>12.54947006</v>
      </c>
      <c r="J235" s="7" t="n">
        <v>64.10021689</v>
      </c>
      <c r="K235" s="7" t="n">
        <v>6.537775797</v>
      </c>
      <c r="L235" s="7" t="n">
        <v>3.383709875</v>
      </c>
      <c r="M235" s="7" t="n">
        <v>25.97829744</v>
      </c>
      <c r="N235" s="7" t="n">
        <v>85.52810963</v>
      </c>
      <c r="O235" s="7" t="n">
        <v>10.69005698</v>
      </c>
      <c r="P235" s="7" t="n">
        <v>3.58408039</v>
      </c>
      <c r="Q235" s="7" t="n">
        <v>0.1977530006</v>
      </c>
      <c r="R235" s="8" t="str">
        <f aca="false">IF($A235=$A236,$C236-$C235,"")</f>
        <v/>
      </c>
      <c r="S235" s="9" t="str">
        <f aca="false">IF(AND($A235=$A236,ISNUMBER(F235),ISNUMBER(F236)),(F236-F235)/($C236-$C235),"")</f>
        <v/>
      </c>
      <c r="T235" s="9" t="str">
        <f aca="false">IF(AND($A235=$A236,ISNUMBER(J235),ISNUMBER(J236)),(J236-J235)/($C236-$C235),"")</f>
        <v/>
      </c>
      <c r="U235" s="9" t="str">
        <f aca="false">IF(AND($A235=$A236,ISNUMBER(N235),ISNUMBER(N236)),(N236-N235)/($C236-$C235),"")</f>
        <v/>
      </c>
      <c r="V235" s="8" t="n">
        <f aca="false">IF(ISNUMBER(F235),ROUND(F235,0),"")</f>
        <v>75</v>
      </c>
      <c r="W235" s="8" t="n">
        <f aca="false">IF(ISNUMBER(J235),ROUND(J235,0),"")</f>
        <v>64</v>
      </c>
      <c r="X235" s="8" t="n">
        <f aca="false">IF(ISNUMBER(N235),ROUND(N235,0),"")</f>
        <v>86</v>
      </c>
      <c r="Y235" s="4" t="str">
        <f aca="false">IF(AND($A235=$A236,V235=100,V236=100),"full access","")</f>
        <v/>
      </c>
      <c r="Z235" s="4" t="str">
        <f aca="false">IF(AND($A235=$A236,W235=100,W236=100),"full access","")</f>
        <v/>
      </c>
      <c r="AA235" s="4" t="str">
        <f aca="false">IF(AND($A235=$A236,X235=100,X236=100),"full access","")</f>
        <v/>
      </c>
      <c r="AB235" s="9" t="str">
        <f aca="false">IF(AND(ISNUMBER(T235),ISNUMBER(U235)),T235-U235,"")</f>
        <v/>
      </c>
    </row>
    <row r="236" customFormat="false" ht="15" hidden="false" customHeight="false" outlineLevel="0" collapsed="false">
      <c r="A236" s="10" t="s">
        <v>200</v>
      </c>
      <c r="B236" s="10" t="str">
        <f aca="false">IFERROR(INDEX('Region Lookup'!$B$2:$B$233,MATCH(A236,'Region Lookup'!$A$2:$A$233,0)),"Not found")</f>
        <v>Sub-Saharan Africa</v>
      </c>
      <c r="C236" s="10" t="n">
        <v>2015</v>
      </c>
      <c r="D236" s="11" t="n">
        <v>6418.314941</v>
      </c>
      <c r="E236" s="12" t="n">
        <v>79.27000427</v>
      </c>
      <c r="F236" s="12" t="n">
        <v>97.28161516</v>
      </c>
      <c r="G236" s="12" t="n">
        <v>0</v>
      </c>
      <c r="H236" s="12" t="n">
        <v>2.718384841</v>
      </c>
      <c r="I236" s="12" t="n">
        <v>0</v>
      </c>
      <c r="J236" s="12"/>
      <c r="K236" s="12"/>
      <c r="L236" s="12"/>
      <c r="M236" s="12"/>
      <c r="N236" s="12"/>
      <c r="O236" s="12"/>
      <c r="P236" s="12"/>
      <c r="Q236" s="12"/>
      <c r="R236" s="13" t="n">
        <f aca="false">IF($A236=$A237,$C237-$C236,"")</f>
        <v>5</v>
      </c>
      <c r="S236" s="14" t="n">
        <f aca="false">IF(AND($A236=$A237,ISNUMBER(F236),ISNUMBER(F237)),(F237-F236)/($C237-$C236),"")</f>
        <v>0.521981728</v>
      </c>
      <c r="T236" s="14" t="str">
        <f aca="false">IF(AND($A236=$A237,ISNUMBER(J236),ISNUMBER(J237)),(J237-J236)/($C237-$C236),"")</f>
        <v/>
      </c>
      <c r="U236" s="14" t="str">
        <f aca="false">IF(AND($A236=$A237,ISNUMBER(N236),ISNUMBER(N237)),(N237-N236)/($C237-$C236),"")</f>
        <v/>
      </c>
      <c r="V236" s="13" t="n">
        <f aca="false">IF(ISNUMBER(F236),ROUND(F236,0),"")</f>
        <v>97</v>
      </c>
      <c r="W236" s="13" t="str">
        <f aca="false">IF(ISNUMBER(J236),ROUND(J236,0),"")</f>
        <v/>
      </c>
      <c r="X236" s="13" t="str">
        <f aca="false">IF(ISNUMBER(N236),ROUND(N236,0),"")</f>
        <v/>
      </c>
      <c r="Y236" s="10" t="str">
        <f aca="false">IF(AND($A236=$A237,V236=100,V237=100),"full access","")</f>
        <v/>
      </c>
      <c r="Z236" s="10" t="str">
        <f aca="false">IF(AND($A236=$A237,W236=100,W237=100),"full access","")</f>
        <v/>
      </c>
      <c r="AA236" s="10" t="str">
        <f aca="false">IF(AND($A236=$A237,X236=100,X237=100),"full access","")</f>
        <v/>
      </c>
      <c r="AB236" s="14" t="str">
        <f aca="false">IF(AND(ISNUMBER(T236),ISNUMBER(U236)),T236-U236,"")</f>
        <v/>
      </c>
    </row>
    <row r="237" customFormat="false" ht="15" hidden="false" customHeight="false" outlineLevel="0" collapsed="false">
      <c r="A237" s="10" t="s">
        <v>200</v>
      </c>
      <c r="B237" s="10" t="str">
        <f aca="false">IFERROR(INDEX('Region Lookup'!$B$2:$B$233,MATCH(A237,'Region Lookup'!$A$2:$A$233,0)),"Not found")</f>
        <v>Sub-Saharan Africa</v>
      </c>
      <c r="C237" s="10" t="n">
        <v>2020</v>
      </c>
      <c r="D237" s="11" t="n">
        <v>6871.287109</v>
      </c>
      <c r="E237" s="12" t="n">
        <v>80.69100189</v>
      </c>
      <c r="F237" s="12" t="n">
        <v>99.8915238</v>
      </c>
      <c r="G237" s="12" t="n">
        <v>0</v>
      </c>
      <c r="H237" s="12" t="n">
        <v>0.1084762012</v>
      </c>
      <c r="I237" s="12" t="n">
        <v>0</v>
      </c>
      <c r="J237" s="12"/>
      <c r="K237" s="12"/>
      <c r="L237" s="12"/>
      <c r="M237" s="12"/>
      <c r="N237" s="12"/>
      <c r="O237" s="12"/>
      <c r="P237" s="12"/>
      <c r="Q237" s="12"/>
      <c r="R237" s="13" t="str">
        <f aca="false">IF($A237=$A238,$C238-$C237,"")</f>
        <v/>
      </c>
      <c r="S237" s="14" t="str">
        <f aca="false">IF(AND($A237=$A238,ISNUMBER(F237),ISNUMBER(F238)),(F238-F237)/($C238-$C237),"")</f>
        <v/>
      </c>
      <c r="T237" s="14" t="str">
        <f aca="false">IF(AND($A237=$A238,ISNUMBER(J237),ISNUMBER(J238)),(J238-J237)/($C238-$C237),"")</f>
        <v/>
      </c>
      <c r="U237" s="14" t="str">
        <f aca="false">IF(AND($A237=$A238,ISNUMBER(N237),ISNUMBER(N238)),(N238-N237)/($C238-$C237),"")</f>
        <v/>
      </c>
      <c r="V237" s="13" t="n">
        <f aca="false">IF(ISNUMBER(F237),ROUND(F237,0),"")</f>
        <v>100</v>
      </c>
      <c r="W237" s="13" t="str">
        <f aca="false">IF(ISNUMBER(J237),ROUND(J237,0),"")</f>
        <v/>
      </c>
      <c r="X237" s="13" t="str">
        <f aca="false">IF(ISNUMBER(N237),ROUND(N237,0),"")</f>
        <v/>
      </c>
      <c r="Y237" s="10" t="str">
        <f aca="false">IF(AND($A237=$A238,V237=100,V238=100),"full access","")</f>
        <v/>
      </c>
      <c r="Z237" s="10" t="str">
        <f aca="false">IF(AND($A237=$A238,W237=100,W238=100),"full access","")</f>
        <v/>
      </c>
      <c r="AA237" s="10" t="str">
        <f aca="false">IF(AND($A237=$A238,X237=100,X238=100),"full access","")</f>
        <v/>
      </c>
      <c r="AB237" s="14" t="str">
        <f aca="false">IF(AND(ISNUMBER(T237),ISNUMBER(U237)),T237-U237,"")</f>
        <v/>
      </c>
    </row>
    <row r="238" customFormat="false" ht="15" hidden="false" customHeight="false" outlineLevel="0" collapsed="false">
      <c r="A238" s="4" t="s">
        <v>201</v>
      </c>
      <c r="B238" s="4" t="str">
        <f aca="false">IFERROR(INDEX('Region Lookup'!$B$2:$B$233,MATCH(A238,'Region Lookup'!$A$2:$A$233,0)),"Not found")</f>
        <v>Europe &amp; Central Asia</v>
      </c>
      <c r="C238" s="4" t="n">
        <v>2015</v>
      </c>
      <c r="D238" s="6" t="n">
        <v>37.46500015</v>
      </c>
      <c r="E238" s="7" t="n">
        <v>14.30300045</v>
      </c>
      <c r="F238" s="7" t="n">
        <v>100</v>
      </c>
      <c r="G238" s="7" t="n">
        <v>0</v>
      </c>
      <c r="H238" s="7" t="n">
        <v>0</v>
      </c>
      <c r="I238" s="7" t="n">
        <v>0</v>
      </c>
      <c r="J238" s="7"/>
      <c r="K238" s="7"/>
      <c r="L238" s="7"/>
      <c r="M238" s="7"/>
      <c r="N238" s="7"/>
      <c r="O238" s="7"/>
      <c r="P238" s="7"/>
      <c r="Q238" s="7"/>
      <c r="R238" s="8" t="n">
        <f aca="false">IF($A238=$A239,$C239-$C238,"")</f>
        <v>5</v>
      </c>
      <c r="S238" s="9" t="n">
        <f aca="false">IF(AND($A238=$A239,ISNUMBER(F238),ISNUMBER(F239)),(F239-F238)/($C239-$C238),"")</f>
        <v>0</v>
      </c>
      <c r="T238" s="9" t="str">
        <f aca="false">IF(AND($A238=$A239,ISNUMBER(J238),ISNUMBER(J239)),(J239-J238)/($C239-$C238),"")</f>
        <v/>
      </c>
      <c r="U238" s="9" t="str">
        <f aca="false">IF(AND($A238=$A239,ISNUMBER(N238),ISNUMBER(N239)),(N239-N238)/($C239-$C238),"")</f>
        <v/>
      </c>
      <c r="V238" s="8" t="n">
        <f aca="false">IF(ISNUMBER(F238),ROUND(F238,0),"")</f>
        <v>100</v>
      </c>
      <c r="W238" s="8" t="str">
        <f aca="false">IF(ISNUMBER(J238),ROUND(J238,0),"")</f>
        <v/>
      </c>
      <c r="X238" s="8" t="str">
        <f aca="false">IF(ISNUMBER(N238),ROUND(N238,0),"")</f>
        <v/>
      </c>
      <c r="Y238" s="4" t="str">
        <f aca="false">IF(AND($A238=$A239,V238=100,V239=100),"full access","")</f>
        <v>full access</v>
      </c>
      <c r="Z238" s="4" t="str">
        <f aca="false">IF(AND($A238=$A239,W238=100,W239=100),"full access","")</f>
        <v/>
      </c>
      <c r="AA238" s="4" t="str">
        <f aca="false">IF(AND($A238=$A239,X238=100,X239=100),"full access","")</f>
        <v/>
      </c>
      <c r="AB238" s="9" t="str">
        <f aca="false">IF(AND(ISNUMBER(T238),ISNUMBER(U238)),T238-U238,"")</f>
        <v/>
      </c>
    </row>
    <row r="239" customFormat="false" ht="15" hidden="false" customHeight="false" outlineLevel="0" collapsed="false">
      <c r="A239" s="4" t="s">
        <v>201</v>
      </c>
      <c r="B239" s="4" t="str">
        <f aca="false">IFERROR(INDEX('Region Lookup'!$B$2:$B$233,MATCH(A239,'Region Lookup'!$A$2:$A$233,0)),"Not found")</f>
        <v>Europe &amp; Central Asia</v>
      </c>
      <c r="C239" s="4" t="n">
        <v>2020</v>
      </c>
      <c r="D239" s="6" t="n">
        <v>38.13700104</v>
      </c>
      <c r="E239" s="7" t="n">
        <v>14.41600037</v>
      </c>
      <c r="F239" s="7" t="n">
        <v>100</v>
      </c>
      <c r="G239" s="7" t="n">
        <v>0</v>
      </c>
      <c r="H239" s="7" t="n">
        <v>0</v>
      </c>
      <c r="I239" s="7" t="n">
        <v>0</v>
      </c>
      <c r="J239" s="7"/>
      <c r="K239" s="7"/>
      <c r="L239" s="7"/>
      <c r="M239" s="7"/>
      <c r="N239" s="7"/>
      <c r="O239" s="7"/>
      <c r="P239" s="7"/>
      <c r="Q239" s="7"/>
      <c r="R239" s="8" t="str">
        <f aca="false">IF($A239=$A240,$C240-$C239,"")</f>
        <v/>
      </c>
      <c r="S239" s="9" t="str">
        <f aca="false">IF(AND($A239=$A240,ISNUMBER(F239),ISNUMBER(F240)),(F240-F239)/($C240-$C239),"")</f>
        <v/>
      </c>
      <c r="T239" s="9" t="str">
        <f aca="false">IF(AND($A239=$A240,ISNUMBER(J239),ISNUMBER(J240)),(J240-J239)/($C240-$C239),"")</f>
        <v/>
      </c>
      <c r="U239" s="9" t="str">
        <f aca="false">IF(AND($A239=$A240,ISNUMBER(N239),ISNUMBER(N240)),(N240-N239)/($C240-$C239),"")</f>
        <v/>
      </c>
      <c r="V239" s="8" t="n">
        <f aca="false">IF(ISNUMBER(F239),ROUND(F239,0),"")</f>
        <v>100</v>
      </c>
      <c r="W239" s="8" t="str">
        <f aca="false">IF(ISNUMBER(J239),ROUND(J239,0),"")</f>
        <v/>
      </c>
      <c r="X239" s="8" t="str">
        <f aca="false">IF(ISNUMBER(N239),ROUND(N239,0),"")</f>
        <v/>
      </c>
      <c r="Y239" s="4" t="str">
        <f aca="false">IF(AND($A239=$A240,V239=100,V240=100),"full access","")</f>
        <v/>
      </c>
      <c r="Z239" s="4" t="str">
        <f aca="false">IF(AND($A239=$A240,W239=100,W240=100),"full access","")</f>
        <v/>
      </c>
      <c r="AA239" s="4" t="str">
        <f aca="false">IF(AND($A239=$A240,X239=100,X240=100),"full access","")</f>
        <v/>
      </c>
      <c r="AB239" s="9" t="str">
        <f aca="false">IF(AND(ISNUMBER(T239),ISNUMBER(U239)),T239-U239,"")</f>
        <v/>
      </c>
    </row>
    <row r="240" customFormat="false" ht="15" hidden="false" customHeight="false" outlineLevel="0" collapsed="false">
      <c r="A240" s="10" t="s">
        <v>202</v>
      </c>
      <c r="B240" s="10" t="str">
        <f aca="false">IFERROR(INDEX('Region Lookup'!$B$2:$B$233,MATCH(A240,'Region Lookup'!$A$2:$A$233,0)),"Not found")</f>
        <v>Europe &amp; Central Asia</v>
      </c>
      <c r="C240" s="10" t="n">
        <v>2015</v>
      </c>
      <c r="D240" s="11" t="n">
        <v>2931.87207</v>
      </c>
      <c r="E240" s="12" t="n">
        <v>67.22999573</v>
      </c>
      <c r="F240" s="12" t="n">
        <v>96.60413858</v>
      </c>
      <c r="G240" s="12" t="n">
        <v>0</v>
      </c>
      <c r="H240" s="12" t="n">
        <v>3.395861422</v>
      </c>
      <c r="I240" s="12" t="n">
        <v>0</v>
      </c>
      <c r="J240" s="12" t="n">
        <v>90.71848441</v>
      </c>
      <c r="K240" s="12" t="n">
        <v>0</v>
      </c>
      <c r="L240" s="12" t="n">
        <v>9.281515589</v>
      </c>
      <c r="M240" s="12" t="n">
        <v>0</v>
      </c>
      <c r="N240" s="12" t="n">
        <v>99.47299035</v>
      </c>
      <c r="O240" s="12" t="n">
        <v>0</v>
      </c>
      <c r="P240" s="12" t="n">
        <v>0.5270096501</v>
      </c>
      <c r="Q240" s="12" t="n">
        <v>0</v>
      </c>
      <c r="R240" s="13" t="n">
        <f aca="false">IF($A240=$A241,$C241-$C240,"")</f>
        <v>5</v>
      </c>
      <c r="S240" s="14" t="n">
        <f aca="false">IF(AND($A240=$A241,ISNUMBER(F240),ISNUMBER(F241)),(F241-F240)/($C241-$C240),"")</f>
        <v>0.281841732000001</v>
      </c>
      <c r="T240" s="14" t="n">
        <f aca="false">IF(AND($A240=$A241,ISNUMBER(J240),ISNUMBER(J241)),(J241-J240)/($C241-$C240),"")</f>
        <v>0.612859164</v>
      </c>
      <c r="U240" s="14" t="n">
        <f aca="false">IF(AND($A240=$A241,ISNUMBER(N240),ISNUMBER(N241)),(N241-N240)/($C241-$C240),"")</f>
        <v>0.105401929999999</v>
      </c>
      <c r="V240" s="13" t="n">
        <f aca="false">IF(ISNUMBER(F240),ROUND(F240,0),"")</f>
        <v>97</v>
      </c>
      <c r="W240" s="13" t="n">
        <f aca="false">IF(ISNUMBER(J240),ROUND(J240,0),"")</f>
        <v>91</v>
      </c>
      <c r="X240" s="13" t="n">
        <f aca="false">IF(ISNUMBER(N240),ROUND(N240,0),"")</f>
        <v>99</v>
      </c>
      <c r="Y240" s="10" t="str">
        <f aca="false">IF(AND($A240=$A241,V240=100,V241=100),"full access","")</f>
        <v/>
      </c>
      <c r="Z240" s="10" t="str">
        <f aca="false">IF(AND($A240=$A241,W240=100,W241=100),"full access","")</f>
        <v/>
      </c>
      <c r="AA240" s="10" t="str">
        <f aca="false">IF(AND($A240=$A241,X240=100,X241=100),"full access","")</f>
        <v/>
      </c>
      <c r="AB240" s="14" t="n">
        <f aca="false">IF(AND(ISNUMBER(T240),ISNUMBER(U240)),T240-U240,"")</f>
        <v>0.507457234</v>
      </c>
    </row>
    <row r="241" customFormat="false" ht="15" hidden="false" customHeight="false" outlineLevel="0" collapsed="false">
      <c r="A241" s="10" t="s">
        <v>202</v>
      </c>
      <c r="B241" s="10" t="str">
        <f aca="false">IFERROR(INDEX('Region Lookup'!$B$2:$B$233,MATCH(A241,'Region Lookup'!$A$2:$A$233,0)),"Not found")</f>
        <v>Europe &amp; Central Asia</v>
      </c>
      <c r="C241" s="10" t="n">
        <v>2020</v>
      </c>
      <c r="D241" s="11" t="n">
        <v>2722.291016</v>
      </c>
      <c r="E241" s="12" t="n">
        <v>68.04599762</v>
      </c>
      <c r="F241" s="12" t="n">
        <v>98.01334724</v>
      </c>
      <c r="G241" s="12" t="n">
        <v>0</v>
      </c>
      <c r="H241" s="12" t="n">
        <v>1.98665276</v>
      </c>
      <c r="I241" s="12" t="n">
        <v>0</v>
      </c>
      <c r="J241" s="12" t="n">
        <v>93.78278023</v>
      </c>
      <c r="K241" s="12" t="n">
        <v>0</v>
      </c>
      <c r="L241" s="12" t="n">
        <v>6.217219771</v>
      </c>
      <c r="M241" s="12" t="n">
        <v>0</v>
      </c>
      <c r="N241" s="12" t="n">
        <v>100</v>
      </c>
      <c r="O241" s="12" t="n">
        <v>0</v>
      </c>
      <c r="P241" s="12" t="n">
        <v>0</v>
      </c>
      <c r="Q241" s="12" t="n">
        <v>0</v>
      </c>
      <c r="R241" s="13" t="str">
        <f aca="false">IF($A241=$A242,$C242-$C241,"")</f>
        <v/>
      </c>
      <c r="S241" s="14" t="str">
        <f aca="false">IF(AND($A241=$A242,ISNUMBER(F241),ISNUMBER(F242)),(F242-F241)/($C242-$C241),"")</f>
        <v/>
      </c>
      <c r="T241" s="14" t="str">
        <f aca="false">IF(AND($A241=$A242,ISNUMBER(J241),ISNUMBER(J242)),(J242-J241)/($C242-$C241),"")</f>
        <v/>
      </c>
      <c r="U241" s="14" t="str">
        <f aca="false">IF(AND($A241=$A242,ISNUMBER(N241),ISNUMBER(N242)),(N242-N241)/($C242-$C241),"")</f>
        <v/>
      </c>
      <c r="V241" s="13" t="n">
        <f aca="false">IF(ISNUMBER(F241),ROUND(F241,0),"")</f>
        <v>98</v>
      </c>
      <c r="W241" s="13" t="n">
        <f aca="false">IF(ISNUMBER(J241),ROUND(J241,0),"")</f>
        <v>94</v>
      </c>
      <c r="X241" s="13" t="n">
        <f aca="false">IF(ISNUMBER(N241),ROUND(N241,0),"")</f>
        <v>100</v>
      </c>
      <c r="Y241" s="10" t="str">
        <f aca="false">IF(AND($A241=$A242,V241=100,V242=100),"full access","")</f>
        <v/>
      </c>
      <c r="Z241" s="10" t="str">
        <f aca="false">IF(AND($A241=$A242,W241=100,W242=100),"full access","")</f>
        <v/>
      </c>
      <c r="AA241" s="10" t="str">
        <f aca="false">IF(AND($A241=$A242,X241=100,X242=100),"full access","")</f>
        <v/>
      </c>
      <c r="AB241" s="14" t="str">
        <f aca="false">IF(AND(ISNUMBER(T241),ISNUMBER(U241)),T241-U241,"")</f>
        <v/>
      </c>
    </row>
    <row r="242" customFormat="false" ht="15" hidden="false" customHeight="false" outlineLevel="0" collapsed="false">
      <c r="A242" s="4" t="s">
        <v>203</v>
      </c>
      <c r="B242" s="4" t="str">
        <f aca="false">IFERROR(INDEX('Region Lookup'!$B$2:$B$233,MATCH(A242,'Region Lookup'!$A$2:$A$233,0)),"Not found")</f>
        <v>Europe &amp; Central Asia</v>
      </c>
      <c r="C242" s="4" t="n">
        <v>2015</v>
      </c>
      <c r="D242" s="6" t="n">
        <v>566.7410278</v>
      </c>
      <c r="E242" s="7" t="n">
        <v>90.17900085</v>
      </c>
      <c r="F242" s="7" t="n">
        <v>99.92517066</v>
      </c>
      <c r="G242" s="7" t="n">
        <v>0</v>
      </c>
      <c r="H242" s="7" t="n">
        <v>0.07482934002</v>
      </c>
      <c r="I242" s="7" t="n">
        <v>0</v>
      </c>
      <c r="J242" s="7" t="n">
        <v>99.23809524</v>
      </c>
      <c r="K242" s="7" t="n">
        <v>0</v>
      </c>
      <c r="L242" s="7" t="n">
        <v>0.7619047619</v>
      </c>
      <c r="M242" s="7" t="n">
        <v>0</v>
      </c>
      <c r="N242" s="7" t="n">
        <v>100</v>
      </c>
      <c r="O242" s="7" t="n">
        <v>0</v>
      </c>
      <c r="P242" s="7" t="n">
        <v>0</v>
      </c>
      <c r="Q242" s="7" t="n">
        <v>0</v>
      </c>
      <c r="R242" s="8" t="n">
        <f aca="false">IF($A242=$A243,$C243-$C242,"")</f>
        <v>5</v>
      </c>
      <c r="S242" s="9" t="n">
        <f aca="false">IF(AND($A242=$A243,ISNUMBER(F242),ISNUMBER(F243)),(F243-F242)/($C243-$C242),"")</f>
        <v>-0.00904762400000152</v>
      </c>
      <c r="T242" s="9" t="n">
        <f aca="false">IF(AND($A242=$A243,ISNUMBER(J242),ISNUMBER(J243)),(J243-J242)/($C243-$C242),"")</f>
        <v>-0.128571428000001</v>
      </c>
      <c r="U242" s="9" t="n">
        <f aca="false">IF(AND($A242=$A243,ISNUMBER(N242),ISNUMBER(N243)),(N243-N242)/($C243-$C242),"")</f>
        <v>0</v>
      </c>
      <c r="V242" s="8" t="n">
        <f aca="false">IF(ISNUMBER(F242),ROUND(F242,0),"")</f>
        <v>100</v>
      </c>
      <c r="W242" s="8" t="n">
        <f aca="false">IF(ISNUMBER(J242),ROUND(J242,0),"")</f>
        <v>99</v>
      </c>
      <c r="X242" s="8" t="n">
        <f aca="false">IF(ISNUMBER(N242),ROUND(N242,0),"")</f>
        <v>100</v>
      </c>
      <c r="Y242" s="4" t="str">
        <f aca="false">IF(AND($A242=$A243,V242=100,V243=100),"full access","")</f>
        <v>full access</v>
      </c>
      <c r="Z242" s="4" t="str">
        <f aca="false">IF(AND($A242=$A243,W242=100,W243=100),"full access","")</f>
        <v/>
      </c>
      <c r="AA242" s="4" t="str">
        <f aca="false">IF(AND($A242=$A243,X242=100,X243=100),"full access","")</f>
        <v>full access</v>
      </c>
      <c r="AB242" s="9" t="n">
        <f aca="false">IF(AND(ISNUMBER(T242),ISNUMBER(U242)),T242-U242,"")</f>
        <v>-0.128571428000001</v>
      </c>
    </row>
    <row r="243" customFormat="false" ht="15" hidden="false" customHeight="false" outlineLevel="0" collapsed="false">
      <c r="A243" s="4" t="s">
        <v>203</v>
      </c>
      <c r="B243" s="4" t="str">
        <f aca="false">IFERROR(INDEX('Region Lookup'!$B$2:$B$233,MATCH(A243,'Region Lookup'!$A$2:$A$233,0)),"Not found")</f>
        <v>Europe &amp; Central Asia</v>
      </c>
      <c r="C243" s="4" t="n">
        <v>2020</v>
      </c>
      <c r="D243" s="6" t="n">
        <v>625.9760132</v>
      </c>
      <c r="E243" s="7" t="n">
        <v>91.4529953</v>
      </c>
      <c r="F243" s="7" t="n">
        <v>99.87993254</v>
      </c>
      <c r="G243" s="7" t="n">
        <v>0</v>
      </c>
      <c r="H243" s="7" t="n">
        <v>0.1200674649</v>
      </c>
      <c r="I243" s="7" t="n">
        <v>0</v>
      </c>
      <c r="J243" s="7" t="n">
        <v>98.5952381</v>
      </c>
      <c r="K243" s="7" t="n">
        <v>0</v>
      </c>
      <c r="L243" s="7" t="n">
        <v>1.404761905</v>
      </c>
      <c r="M243" s="7" t="n">
        <v>0</v>
      </c>
      <c r="N243" s="7" t="n">
        <v>100</v>
      </c>
      <c r="O243" s="7" t="n">
        <v>0</v>
      </c>
      <c r="P243" s="7" t="n">
        <v>0</v>
      </c>
      <c r="Q243" s="7" t="n">
        <v>0</v>
      </c>
      <c r="R243" s="8" t="str">
        <f aca="false">IF($A243=$A244,$C244-$C243,"")</f>
        <v/>
      </c>
      <c r="S243" s="9" t="str">
        <f aca="false">IF(AND($A243=$A244,ISNUMBER(F243),ISNUMBER(F244)),(F244-F243)/($C244-$C243),"")</f>
        <v/>
      </c>
      <c r="T243" s="9" t="str">
        <f aca="false">IF(AND($A243=$A244,ISNUMBER(J243),ISNUMBER(J244)),(J244-J243)/($C244-$C243),"")</f>
        <v/>
      </c>
      <c r="U243" s="9" t="str">
        <f aca="false">IF(AND($A243=$A244,ISNUMBER(N243),ISNUMBER(N244)),(N244-N243)/($C244-$C243),"")</f>
        <v/>
      </c>
      <c r="V243" s="8" t="n">
        <f aca="false">IF(ISNUMBER(F243),ROUND(F243,0),"")</f>
        <v>100</v>
      </c>
      <c r="W243" s="8" t="n">
        <f aca="false">IF(ISNUMBER(J243),ROUND(J243,0),"")</f>
        <v>99</v>
      </c>
      <c r="X243" s="8" t="n">
        <f aca="false">IF(ISNUMBER(N243),ROUND(N243,0),"")</f>
        <v>100</v>
      </c>
      <c r="Y243" s="4" t="str">
        <f aca="false">IF(AND($A243=$A244,V243=100,V244=100),"full access","")</f>
        <v/>
      </c>
      <c r="Z243" s="4" t="str">
        <f aca="false">IF(AND($A243=$A244,W243=100,W244=100),"full access","")</f>
        <v/>
      </c>
      <c r="AA243" s="4" t="str">
        <f aca="false">IF(AND($A243=$A244,X243=100,X244=100),"full access","")</f>
        <v/>
      </c>
      <c r="AB243" s="9" t="str">
        <f aca="false">IF(AND(ISNUMBER(T243),ISNUMBER(U243)),T243-U243,"")</f>
        <v/>
      </c>
    </row>
    <row r="244" customFormat="false" ht="15" hidden="false" customHeight="false" outlineLevel="0" collapsed="false">
      <c r="A244" s="10" t="s">
        <v>204</v>
      </c>
      <c r="B244" s="10" t="str">
        <f aca="false">IFERROR(INDEX('Region Lookup'!$B$2:$B$233,MATCH(A244,'Region Lookup'!$A$2:$A$233,0)),"Not found")</f>
        <v>Sub-Saharan Africa</v>
      </c>
      <c r="C244" s="10" t="n">
        <v>2015</v>
      </c>
      <c r="D244" s="11" t="n">
        <v>24234.08008</v>
      </c>
      <c r="E244" s="12" t="n">
        <v>35.19299698</v>
      </c>
      <c r="F244" s="12" t="n">
        <v>48.89177354</v>
      </c>
      <c r="G244" s="12" t="n">
        <v>2.67716038</v>
      </c>
      <c r="H244" s="12" t="n">
        <v>30.40673651</v>
      </c>
      <c r="I244" s="12" t="n">
        <v>18.02432957</v>
      </c>
      <c r="J244" s="12" t="n">
        <v>33.14457773</v>
      </c>
      <c r="K244" s="12" t="n">
        <v>1.743479446</v>
      </c>
      <c r="L244" s="12" t="n">
        <v>39.69799969</v>
      </c>
      <c r="M244" s="12" t="n">
        <v>25.41394313</v>
      </c>
      <c r="N244" s="12" t="n">
        <v>77.88983072</v>
      </c>
      <c r="O244" s="12" t="n">
        <v>4.396509873</v>
      </c>
      <c r="P244" s="12" t="n">
        <v>13.29711369</v>
      </c>
      <c r="Q244" s="12" t="n">
        <v>4.416545719</v>
      </c>
      <c r="R244" s="13" t="n">
        <f aca="false">IF($A244=$A245,$C245-$C244,"")</f>
        <v>5</v>
      </c>
      <c r="S244" s="14" t="n">
        <f aca="false">IF(AND($A244=$A245,ISNUMBER(F244),ISNUMBER(F245)),(F245-F244)/($C245-$C244),"")</f>
        <v>0.898822274</v>
      </c>
      <c r="T244" s="14" t="n">
        <f aca="false">IF(AND($A244=$A245,ISNUMBER(J244),ISNUMBER(J245)),(J245-J244)/($C245-$C244),"")</f>
        <v>0.652368509999999</v>
      </c>
      <c r="U244" s="14" t="n">
        <f aca="false">IF(AND($A244=$A245,ISNUMBER(N244),ISNUMBER(N245)),(N245-N244)/($C245-$C244),"")</f>
        <v>0.516035244</v>
      </c>
      <c r="V244" s="13" t="n">
        <f aca="false">IF(ISNUMBER(F244),ROUND(F244,0),"")</f>
        <v>49</v>
      </c>
      <c r="W244" s="13" t="n">
        <f aca="false">IF(ISNUMBER(J244),ROUND(J244,0),"")</f>
        <v>33</v>
      </c>
      <c r="X244" s="13" t="n">
        <f aca="false">IF(ISNUMBER(N244),ROUND(N244,0),"")</f>
        <v>78</v>
      </c>
      <c r="Y244" s="10" t="str">
        <f aca="false">IF(AND($A244=$A245,V244=100,V245=100),"full access","")</f>
        <v/>
      </c>
      <c r="Z244" s="10" t="str">
        <f aca="false">IF(AND($A244=$A245,W244=100,W245=100),"full access","")</f>
        <v/>
      </c>
      <c r="AA244" s="10" t="str">
        <f aca="false">IF(AND($A244=$A245,X244=100,X245=100),"full access","")</f>
        <v/>
      </c>
      <c r="AB244" s="14" t="n">
        <f aca="false">IF(AND(ISNUMBER(T244),ISNUMBER(U244)),T244-U244,"")</f>
        <v>0.136333266</v>
      </c>
    </row>
    <row r="245" customFormat="false" ht="15" hidden="false" customHeight="false" outlineLevel="0" collapsed="false">
      <c r="A245" s="10" t="s">
        <v>204</v>
      </c>
      <c r="B245" s="10" t="str">
        <f aca="false">IFERROR(INDEX('Region Lookup'!$B$2:$B$233,MATCH(A245,'Region Lookup'!$A$2:$A$233,0)),"Not found")</f>
        <v>Sub-Saharan Africa</v>
      </c>
      <c r="C245" s="10" t="n">
        <v>2020</v>
      </c>
      <c r="D245" s="11" t="n">
        <v>27691.01953</v>
      </c>
      <c r="E245" s="12" t="n">
        <v>38.5340004</v>
      </c>
      <c r="F245" s="12" t="n">
        <v>53.38588491</v>
      </c>
      <c r="G245" s="12" t="n">
        <v>2.71797298</v>
      </c>
      <c r="H245" s="12" t="n">
        <v>32.31145967</v>
      </c>
      <c r="I245" s="12" t="n">
        <v>11.58468244</v>
      </c>
      <c r="J245" s="12" t="n">
        <v>36.40642028</v>
      </c>
      <c r="K245" s="12" t="n">
        <v>1.601776163</v>
      </c>
      <c r="L245" s="12" t="n">
        <v>43.95389345</v>
      </c>
      <c r="M245" s="12" t="n">
        <v>18.03791011</v>
      </c>
      <c r="N245" s="12" t="n">
        <v>80.47000694</v>
      </c>
      <c r="O245" s="12" t="n">
        <v>4.498430298</v>
      </c>
      <c r="P245" s="12" t="n">
        <v>13.74049434</v>
      </c>
      <c r="Q245" s="12" t="n">
        <v>1.291068417</v>
      </c>
      <c r="R245" s="13" t="str">
        <f aca="false">IF($A245=$A246,$C246-$C245,"")</f>
        <v/>
      </c>
      <c r="S245" s="14" t="str">
        <f aca="false">IF(AND($A245=$A246,ISNUMBER(F245),ISNUMBER(F246)),(F246-F245)/($C246-$C245),"")</f>
        <v/>
      </c>
      <c r="T245" s="14" t="str">
        <f aca="false">IF(AND($A245=$A246,ISNUMBER(J245),ISNUMBER(J246)),(J246-J245)/($C246-$C245),"")</f>
        <v/>
      </c>
      <c r="U245" s="14" t="str">
        <f aca="false">IF(AND($A245=$A246,ISNUMBER(N245),ISNUMBER(N246)),(N246-N245)/($C246-$C245),"")</f>
        <v/>
      </c>
      <c r="V245" s="13" t="n">
        <f aca="false">IF(ISNUMBER(F245),ROUND(F245,0),"")</f>
        <v>53</v>
      </c>
      <c r="W245" s="13" t="n">
        <f aca="false">IF(ISNUMBER(J245),ROUND(J245,0),"")</f>
        <v>36</v>
      </c>
      <c r="X245" s="13" t="n">
        <f aca="false">IF(ISNUMBER(N245),ROUND(N245,0),"")</f>
        <v>80</v>
      </c>
      <c r="Y245" s="10" t="str">
        <f aca="false">IF(AND($A245=$A246,V245=100,V246=100),"full access","")</f>
        <v/>
      </c>
      <c r="Z245" s="10" t="str">
        <f aca="false">IF(AND($A245=$A246,W245=100,W246=100),"full access","")</f>
        <v/>
      </c>
      <c r="AA245" s="10" t="str">
        <f aca="false">IF(AND($A245=$A246,X245=100,X246=100),"full access","")</f>
        <v/>
      </c>
      <c r="AB245" s="14" t="str">
        <f aca="false">IF(AND(ISNUMBER(T245),ISNUMBER(U245)),T245-U245,"")</f>
        <v/>
      </c>
    </row>
    <row r="246" customFormat="false" ht="15" hidden="false" customHeight="false" outlineLevel="0" collapsed="false">
      <c r="A246" s="4" t="s">
        <v>205</v>
      </c>
      <c r="B246" s="4" t="str">
        <f aca="false">IFERROR(INDEX('Region Lookup'!$B$2:$B$233,MATCH(A246,'Region Lookup'!$A$2:$A$233,0)),"Not found")</f>
        <v>Sub-Saharan Africa</v>
      </c>
      <c r="C246" s="4" t="n">
        <v>2015</v>
      </c>
      <c r="D246" s="6" t="n">
        <v>16745.30469</v>
      </c>
      <c r="E246" s="7" t="n">
        <v>16.31299973</v>
      </c>
      <c r="F246" s="7" t="n">
        <v>66.15495914</v>
      </c>
      <c r="G246" s="7" t="n">
        <v>19.71603831</v>
      </c>
      <c r="H246" s="7" t="n">
        <v>10.55451427</v>
      </c>
      <c r="I246" s="7" t="n">
        <v>3.574488277</v>
      </c>
      <c r="J246" s="7" t="n">
        <v>62.24060864</v>
      </c>
      <c r="K246" s="7" t="n">
        <v>21.69810966</v>
      </c>
      <c r="L246" s="7" t="n">
        <v>11.87522028</v>
      </c>
      <c r="M246" s="7" t="n">
        <v>4.186061413</v>
      </c>
      <c r="N246" s="7" t="n">
        <v>86.23587985</v>
      </c>
      <c r="O246" s="7" t="n">
        <v>9.547849488</v>
      </c>
      <c r="P246" s="7" t="n">
        <v>3.779202335</v>
      </c>
      <c r="Q246" s="7" t="n">
        <v>0.4370683245</v>
      </c>
      <c r="R246" s="8" t="n">
        <f aca="false">IF($A246=$A247,$C247-$C246,"")</f>
        <v>5</v>
      </c>
      <c r="S246" s="9" t="n">
        <f aca="false">IF(AND($A246=$A247,ISNUMBER(F246),ISNUMBER(F247)),(F247-F246)/($C247-$C246),"")</f>
        <v>0.778553873999999</v>
      </c>
      <c r="T246" s="9" t="n">
        <f aca="false">IF(AND($A246=$A247,ISNUMBER(J246),ISNUMBER(J247)),(J247-J246)/($C247-$C246),"")</f>
        <v>0.868887024000001</v>
      </c>
      <c r="U246" s="9" t="n">
        <f aca="false">IF(AND($A246=$A247,ISNUMBER(N246),ISNUMBER(N247)),(N247-N246)/($C247-$C246),"")</f>
        <v>0.043763672</v>
      </c>
      <c r="V246" s="8" t="n">
        <f aca="false">IF(ISNUMBER(F246),ROUND(F246,0),"")</f>
        <v>66</v>
      </c>
      <c r="W246" s="8" t="n">
        <f aca="false">IF(ISNUMBER(J246),ROUND(J246,0),"")</f>
        <v>62</v>
      </c>
      <c r="X246" s="8" t="n">
        <f aca="false">IF(ISNUMBER(N246),ROUND(N246,0),"")</f>
        <v>86</v>
      </c>
      <c r="Y246" s="4" t="str">
        <f aca="false">IF(AND($A246=$A247,V246=100,V247=100),"full access","")</f>
        <v/>
      </c>
      <c r="Z246" s="4" t="str">
        <f aca="false">IF(AND($A246=$A247,W246=100,W247=100),"full access","")</f>
        <v/>
      </c>
      <c r="AA246" s="4" t="str">
        <f aca="false">IF(AND($A246=$A247,X246=100,X247=100),"full access","")</f>
        <v/>
      </c>
      <c r="AB246" s="9" t="n">
        <f aca="false">IF(AND(ISNUMBER(T246),ISNUMBER(U246)),T246-U246,"")</f>
        <v>0.825123352000001</v>
      </c>
    </row>
    <row r="247" customFormat="false" ht="15" hidden="false" customHeight="false" outlineLevel="0" collapsed="false">
      <c r="A247" s="4" t="s">
        <v>205</v>
      </c>
      <c r="B247" s="4" t="str">
        <f aca="false">IFERROR(INDEX('Region Lookup'!$B$2:$B$233,MATCH(A247,'Region Lookup'!$A$2:$A$233,0)),"Not found")</f>
        <v>Sub-Saharan Africa</v>
      </c>
      <c r="C247" s="4" t="n">
        <v>2020</v>
      </c>
      <c r="D247" s="6" t="n">
        <v>19129.95508</v>
      </c>
      <c r="E247" s="7" t="n">
        <v>17.42700005</v>
      </c>
      <c r="F247" s="7" t="n">
        <v>70.04772851</v>
      </c>
      <c r="G247" s="7" t="n">
        <v>21.95081497</v>
      </c>
      <c r="H247" s="7" t="n">
        <v>5.776304407</v>
      </c>
      <c r="I247" s="7" t="n">
        <v>2.22515211</v>
      </c>
      <c r="J247" s="7" t="n">
        <v>66.58504376</v>
      </c>
      <c r="K247" s="7" t="n">
        <v>24.41415803</v>
      </c>
      <c r="L247" s="7" t="n">
        <v>6.383874146</v>
      </c>
      <c r="M247" s="7" t="n">
        <v>2.616924066</v>
      </c>
      <c r="N247" s="7" t="n">
        <v>86.45469821</v>
      </c>
      <c r="O247" s="7" t="n">
        <v>10.27894825</v>
      </c>
      <c r="P247" s="7" t="n">
        <v>2.897503996</v>
      </c>
      <c r="Q247" s="7" t="n">
        <v>0.3688495446</v>
      </c>
      <c r="R247" s="8" t="str">
        <f aca="false">IF($A247=$A248,$C248-$C247,"")</f>
        <v/>
      </c>
      <c r="S247" s="9" t="str">
        <f aca="false">IF(AND($A247=$A248,ISNUMBER(F247),ISNUMBER(F248)),(F248-F247)/($C248-$C247),"")</f>
        <v/>
      </c>
      <c r="T247" s="9" t="str">
        <f aca="false">IF(AND($A247=$A248,ISNUMBER(J247),ISNUMBER(J248)),(J248-J247)/($C248-$C247),"")</f>
        <v/>
      </c>
      <c r="U247" s="9" t="str">
        <f aca="false">IF(AND($A247=$A248,ISNUMBER(N247),ISNUMBER(N248)),(N248-N247)/($C248-$C247),"")</f>
        <v/>
      </c>
      <c r="V247" s="8" t="n">
        <f aca="false">IF(ISNUMBER(F247),ROUND(F247,0),"")</f>
        <v>70</v>
      </c>
      <c r="W247" s="8" t="n">
        <f aca="false">IF(ISNUMBER(J247),ROUND(J247,0),"")</f>
        <v>67</v>
      </c>
      <c r="X247" s="8" t="n">
        <f aca="false">IF(ISNUMBER(N247),ROUND(N247,0),"")</f>
        <v>86</v>
      </c>
      <c r="Y247" s="4" t="str">
        <f aca="false">IF(AND($A247=$A248,V247=100,V248=100),"full access","")</f>
        <v/>
      </c>
      <c r="Z247" s="4" t="str">
        <f aca="false">IF(AND($A247=$A248,W247=100,W248=100),"full access","")</f>
        <v/>
      </c>
      <c r="AA247" s="4" t="str">
        <f aca="false">IF(AND($A247=$A248,X247=100,X248=100),"full access","")</f>
        <v/>
      </c>
      <c r="AB247" s="9" t="str">
        <f aca="false">IF(AND(ISNUMBER(T247),ISNUMBER(U247)),T247-U247,"")</f>
        <v/>
      </c>
    </row>
    <row r="248" customFormat="false" ht="15" hidden="false" customHeight="false" outlineLevel="0" collapsed="false">
      <c r="A248" s="10" t="s">
        <v>206</v>
      </c>
      <c r="B248" s="10" t="str">
        <f aca="false">IFERROR(INDEX('Region Lookup'!$B$2:$B$233,MATCH(A248,'Region Lookup'!$A$2:$A$233,0)),"Not found")</f>
        <v>South Asia</v>
      </c>
      <c r="C248" s="10" t="n">
        <v>2015</v>
      </c>
      <c r="D248" s="11" t="n">
        <v>30270.96484</v>
      </c>
      <c r="E248" s="12" t="n">
        <v>74.21299744</v>
      </c>
      <c r="F248" s="12" t="n">
        <v>97.05220256</v>
      </c>
      <c r="G248" s="12" t="n">
        <v>0.3630055004</v>
      </c>
      <c r="H248" s="12" t="n">
        <v>2.584791939</v>
      </c>
      <c r="I248" s="12"/>
      <c r="J248" s="12" t="n">
        <v>90.91830922</v>
      </c>
      <c r="K248" s="12" t="n">
        <v>0.5488026714</v>
      </c>
      <c r="L248" s="12" t="n">
        <v>8.532888105</v>
      </c>
      <c r="M248" s="12"/>
      <c r="N248" s="12" t="n">
        <v>99.18356605</v>
      </c>
      <c r="O248" s="12" t="n">
        <v>0.2984460363</v>
      </c>
      <c r="P248" s="12" t="n">
        <v>0.427987911</v>
      </c>
      <c r="Q248" s="12" t="n">
        <v>0.09</v>
      </c>
      <c r="R248" s="13" t="n">
        <f aca="false">IF($A248=$A249,$C249-$C248,"")</f>
        <v>5</v>
      </c>
      <c r="S248" s="14" t="n">
        <f aca="false">IF(AND($A248=$A249,ISNUMBER(F248),ISNUMBER(F249)),(F249-F248)/($C249-$C248),"")</f>
        <v>0.00954090200000053</v>
      </c>
      <c r="T248" s="14" t="n">
        <f aca="false">IF(AND($A248=$A249,ISNUMBER(J248),ISNUMBER(J249)),(J249-J248)/($C249-$C248),"")</f>
        <v>-0.144172219999999</v>
      </c>
      <c r="U248" s="14" t="n">
        <f aca="false">IF(AND($A248=$A249,ISNUMBER(N248),ISNUMBER(N249)),(N249-N248)/($C249-$C248),"")</f>
        <v>-0.0080940279999993</v>
      </c>
      <c r="V248" s="13" t="n">
        <f aca="false">IF(ISNUMBER(F248),ROUND(F248,0),"")</f>
        <v>97</v>
      </c>
      <c r="W248" s="13" t="n">
        <f aca="false">IF(ISNUMBER(J248),ROUND(J248,0),"")</f>
        <v>91</v>
      </c>
      <c r="X248" s="13" t="n">
        <f aca="false">IF(ISNUMBER(N248),ROUND(N248,0),"")</f>
        <v>99</v>
      </c>
      <c r="Y248" s="10" t="str">
        <f aca="false">IF(AND($A248=$A249,V248=100,V249=100),"full access","")</f>
        <v/>
      </c>
      <c r="Z248" s="10" t="str">
        <f aca="false">IF(AND($A248=$A249,W248=100,W249=100),"full access","")</f>
        <v/>
      </c>
      <c r="AA248" s="10" t="str">
        <f aca="false">IF(AND($A248=$A249,X248=100,X249=100),"full access","")</f>
        <v/>
      </c>
      <c r="AB248" s="14" t="n">
        <f aca="false">IF(AND(ISNUMBER(T248),ISNUMBER(U248)),T248-U248,"")</f>
        <v>-0.136078191999999</v>
      </c>
    </row>
    <row r="249" customFormat="false" ht="15" hidden="false" customHeight="false" outlineLevel="0" collapsed="false">
      <c r="A249" s="10" t="s">
        <v>206</v>
      </c>
      <c r="B249" s="10" t="str">
        <f aca="false">IFERROR(INDEX('Region Lookup'!$B$2:$B$233,MATCH(A249,'Region Lookup'!$A$2:$A$233,0)),"Not found")</f>
        <v>South Asia</v>
      </c>
      <c r="C249" s="10" t="n">
        <v>2020</v>
      </c>
      <c r="D249" s="11" t="n">
        <v>32365.99805</v>
      </c>
      <c r="E249" s="12" t="n">
        <v>77.15999603</v>
      </c>
      <c r="F249" s="12" t="n">
        <v>97.09990707</v>
      </c>
      <c r="G249" s="12" t="n">
        <v>0.3545396865</v>
      </c>
      <c r="H249" s="12" t="n">
        <v>2.545553241</v>
      </c>
      <c r="I249" s="12"/>
      <c r="J249" s="12" t="n">
        <v>90.19744812</v>
      </c>
      <c r="K249" s="12" t="n">
        <v>0.5444513971</v>
      </c>
      <c r="L249" s="12" t="n">
        <v>9.258100478</v>
      </c>
      <c r="M249" s="12"/>
      <c r="N249" s="12" t="n">
        <v>99.14309591</v>
      </c>
      <c r="O249" s="12" t="n">
        <v>0.2983242605</v>
      </c>
      <c r="P249" s="12" t="n">
        <v>0.4685798319</v>
      </c>
      <c r="Q249" s="12" t="n">
        <v>0.09</v>
      </c>
      <c r="R249" s="13" t="str">
        <f aca="false">IF($A249=$A250,$C250-$C249,"")</f>
        <v/>
      </c>
      <c r="S249" s="14" t="str">
        <f aca="false">IF(AND($A249=$A250,ISNUMBER(F249),ISNUMBER(F250)),(F250-F249)/($C250-$C249),"")</f>
        <v/>
      </c>
      <c r="T249" s="14" t="str">
        <f aca="false">IF(AND($A249=$A250,ISNUMBER(J249),ISNUMBER(J250)),(J250-J249)/($C250-$C249),"")</f>
        <v/>
      </c>
      <c r="U249" s="14" t="str">
        <f aca="false">IF(AND($A249=$A250,ISNUMBER(N249),ISNUMBER(N250)),(N250-N249)/($C250-$C249),"")</f>
        <v/>
      </c>
      <c r="V249" s="13" t="n">
        <f aca="false">IF(ISNUMBER(F249),ROUND(F249,0),"")</f>
        <v>97</v>
      </c>
      <c r="W249" s="13" t="n">
        <f aca="false">IF(ISNUMBER(J249),ROUND(J249,0),"")</f>
        <v>90</v>
      </c>
      <c r="X249" s="13" t="n">
        <f aca="false">IF(ISNUMBER(N249),ROUND(N249,0),"")</f>
        <v>99</v>
      </c>
      <c r="Y249" s="10" t="str">
        <f aca="false">IF(AND($A249=$A250,V249=100,V250=100),"full access","")</f>
        <v/>
      </c>
      <c r="Z249" s="10" t="str">
        <f aca="false">IF(AND($A249=$A250,W249=100,W250=100),"full access","")</f>
        <v/>
      </c>
      <c r="AA249" s="10" t="str">
        <f aca="false">IF(AND($A249=$A250,X249=100,X250=100),"full access","")</f>
        <v/>
      </c>
      <c r="AB249" s="14" t="str">
        <f aca="false">IF(AND(ISNUMBER(T249),ISNUMBER(U249)),T249-U249,"")</f>
        <v/>
      </c>
    </row>
    <row r="250" customFormat="false" ht="15" hidden="false" customHeight="false" outlineLevel="0" collapsed="false">
      <c r="A250" s="4" t="s">
        <v>207</v>
      </c>
      <c r="B250" s="4" t="str">
        <f aca="false">IFERROR(INDEX('Region Lookup'!$B$2:$B$233,MATCH(A250,'Region Lookup'!$A$2:$A$233,0)),"Not found")</f>
        <v>South Asia</v>
      </c>
      <c r="C250" s="4" t="n">
        <v>2015</v>
      </c>
      <c r="D250" s="6" t="n">
        <v>454.9140015</v>
      </c>
      <c r="E250" s="7" t="n">
        <v>38.52899933</v>
      </c>
      <c r="F250" s="7" t="n">
        <v>98.81424429</v>
      </c>
      <c r="G250" s="7" t="n">
        <v>0.1121578799</v>
      </c>
      <c r="H250" s="7" t="n">
        <v>1.073597835</v>
      </c>
      <c r="I250" s="7" t="n">
        <v>0</v>
      </c>
      <c r="J250" s="7" t="n">
        <v>98.87969927</v>
      </c>
      <c r="K250" s="7" t="n">
        <v>0.1669852816</v>
      </c>
      <c r="L250" s="7" t="n">
        <v>0.953315453</v>
      </c>
      <c r="M250" s="7" t="n">
        <v>0</v>
      </c>
      <c r="N250" s="7" t="n">
        <v>98.70980569</v>
      </c>
      <c r="O250" s="7" t="n">
        <v>0.02468362233</v>
      </c>
      <c r="P250" s="7" t="n">
        <v>1.265510688</v>
      </c>
      <c r="Q250" s="7" t="n">
        <v>0</v>
      </c>
      <c r="R250" s="8" t="n">
        <f aca="false">IF($A250=$A251,$C251-$C250,"")</f>
        <v>5</v>
      </c>
      <c r="S250" s="9" t="n">
        <f aca="false">IF(AND($A250=$A251,ISNUMBER(F250),ISNUMBER(F251)),(F251-F250)/($C251-$C250),"")</f>
        <v>0.146038862</v>
      </c>
      <c r="T250" s="9" t="n">
        <f aca="false">IF(AND($A250=$A251,ISNUMBER(J250),ISNUMBER(J251)),(J251-J250)/($C251-$C250),"")</f>
        <v>0.207862645999998</v>
      </c>
      <c r="U250" s="9" t="n">
        <f aca="false">IF(AND($A250=$A251,ISNUMBER(N250),ISNUMBER(N251)),(N251-N250)/($C251-$C250),"")</f>
        <v>0.0576366480000019</v>
      </c>
      <c r="V250" s="8" t="n">
        <f aca="false">IF(ISNUMBER(F250),ROUND(F250,0),"")</f>
        <v>99</v>
      </c>
      <c r="W250" s="8" t="n">
        <f aca="false">IF(ISNUMBER(J250),ROUND(J250,0),"")</f>
        <v>99</v>
      </c>
      <c r="X250" s="8" t="n">
        <f aca="false">IF(ISNUMBER(N250),ROUND(N250,0),"")</f>
        <v>99</v>
      </c>
      <c r="Y250" s="4" t="str">
        <f aca="false">IF(AND($A250=$A251,V250=100,V251=100),"full access","")</f>
        <v/>
      </c>
      <c r="Z250" s="4" t="str">
        <f aca="false">IF(AND($A250=$A251,W250=100,W251=100),"full access","")</f>
        <v/>
      </c>
      <c r="AA250" s="4" t="str">
        <f aca="false">IF(AND($A250=$A251,X250=100,X251=100),"full access","")</f>
        <v/>
      </c>
      <c r="AB250" s="9" t="n">
        <f aca="false">IF(AND(ISNUMBER(T250),ISNUMBER(U250)),T250-U250,"")</f>
        <v>0.150225997999996</v>
      </c>
    </row>
    <row r="251" customFormat="false" ht="15" hidden="false" customHeight="false" outlineLevel="0" collapsed="false">
      <c r="A251" s="4" t="s">
        <v>207</v>
      </c>
      <c r="B251" s="4" t="str">
        <f aca="false">IFERROR(INDEX('Region Lookup'!$B$2:$B$233,MATCH(A251,'Region Lookup'!$A$2:$A$233,0)),"Not found")</f>
        <v>South Asia</v>
      </c>
      <c r="C251" s="4" t="n">
        <v>2020</v>
      </c>
      <c r="D251" s="6" t="n">
        <v>540.5419922</v>
      </c>
      <c r="E251" s="7" t="n">
        <v>40.66899872</v>
      </c>
      <c r="F251" s="7" t="n">
        <v>99.5444386</v>
      </c>
      <c r="G251" s="7" t="n">
        <v>0.0480506913</v>
      </c>
      <c r="H251" s="7" t="n">
        <v>0.407510705</v>
      </c>
      <c r="I251" s="7" t="n">
        <v>0</v>
      </c>
      <c r="J251" s="7" t="n">
        <v>99.9190125</v>
      </c>
      <c r="K251" s="7" t="n">
        <v>0.0809875</v>
      </c>
      <c r="L251" s="7" t="n">
        <v>0</v>
      </c>
      <c r="M251" s="7" t="n">
        <v>0</v>
      </c>
      <c r="N251" s="7" t="n">
        <v>98.99798893</v>
      </c>
      <c r="O251" s="7" t="n">
        <v>0</v>
      </c>
      <c r="P251" s="7" t="n">
        <v>1.002011069</v>
      </c>
      <c r="Q251" s="7" t="n">
        <v>0</v>
      </c>
      <c r="R251" s="8" t="str">
        <f aca="false">IF($A251=$A252,$C252-$C251,"")</f>
        <v/>
      </c>
      <c r="S251" s="9" t="str">
        <f aca="false">IF(AND($A251=$A252,ISNUMBER(F251),ISNUMBER(F252)),(F252-F251)/($C252-$C251),"")</f>
        <v/>
      </c>
      <c r="T251" s="9" t="str">
        <f aca="false">IF(AND($A251=$A252,ISNUMBER(J251),ISNUMBER(J252)),(J252-J251)/($C252-$C251),"")</f>
        <v/>
      </c>
      <c r="U251" s="9" t="str">
        <f aca="false">IF(AND($A251=$A252,ISNUMBER(N251),ISNUMBER(N252)),(N252-N251)/($C252-$C251),"")</f>
        <v/>
      </c>
      <c r="V251" s="8" t="n">
        <f aca="false">IF(ISNUMBER(F251),ROUND(F251,0),"")</f>
        <v>100</v>
      </c>
      <c r="W251" s="8" t="n">
        <f aca="false">IF(ISNUMBER(J251),ROUND(J251,0),"")</f>
        <v>100</v>
      </c>
      <c r="X251" s="8" t="n">
        <f aca="false">IF(ISNUMBER(N251),ROUND(N251,0),"")</f>
        <v>99</v>
      </c>
      <c r="Y251" s="4" t="str">
        <f aca="false">IF(AND($A251=$A252,V251=100,V252=100),"full access","")</f>
        <v/>
      </c>
      <c r="Z251" s="4" t="str">
        <f aca="false">IF(AND($A251=$A252,W251=100,W252=100),"full access","")</f>
        <v/>
      </c>
      <c r="AA251" s="4" t="str">
        <f aca="false">IF(AND($A251=$A252,X251=100,X252=100),"full access","")</f>
        <v/>
      </c>
      <c r="AB251" s="9" t="str">
        <f aca="false">IF(AND(ISNUMBER(T251),ISNUMBER(U251)),T251-U251,"")</f>
        <v/>
      </c>
    </row>
    <row r="252" customFormat="false" ht="15" hidden="false" customHeight="false" outlineLevel="0" collapsed="false">
      <c r="A252" s="10" t="s">
        <v>208</v>
      </c>
      <c r="B252" s="10" t="str">
        <f aca="false">IFERROR(INDEX('Region Lookup'!$B$2:$B$233,MATCH(A252,'Region Lookup'!$A$2:$A$233,0)),"Not found")</f>
        <v>Sub-Saharan Africa</v>
      </c>
      <c r="C252" s="10" t="n">
        <v>2015</v>
      </c>
      <c r="D252" s="11" t="n">
        <v>17438.77148</v>
      </c>
      <c r="E252" s="12" t="n">
        <v>39.99099731</v>
      </c>
      <c r="F252" s="12" t="n">
        <v>74.39951222</v>
      </c>
      <c r="G252" s="12" t="n">
        <v>4.171846453</v>
      </c>
      <c r="H252" s="12" t="n">
        <v>19.37992934</v>
      </c>
      <c r="I252" s="12" t="n">
        <v>2.048711981</v>
      </c>
      <c r="J252" s="12" t="n">
        <v>63.39571403</v>
      </c>
      <c r="K252" s="12" t="n">
        <v>4.449382415</v>
      </c>
      <c r="L252" s="12" t="n">
        <v>28.94484164</v>
      </c>
      <c r="M252" s="12" t="n">
        <v>3.21006192</v>
      </c>
      <c r="N252" s="12" t="n">
        <v>90.91140553</v>
      </c>
      <c r="O252" s="12" t="n">
        <v>3.755386657</v>
      </c>
      <c r="P252" s="12" t="n">
        <v>5.027173979</v>
      </c>
      <c r="Q252" s="12" t="n">
        <v>0.306033834</v>
      </c>
      <c r="R252" s="13" t="n">
        <f aca="false">IF($A252=$A253,$C253-$C252,"")</f>
        <v>5</v>
      </c>
      <c r="S252" s="14" t="n">
        <f aca="false">IF(AND($A252=$A253,ISNUMBER(F252),ISNUMBER(F253)),(F253-F252)/($C253-$C252),"")</f>
        <v>1.629555762</v>
      </c>
      <c r="T252" s="14" t="n">
        <f aca="false">IF(AND($A252=$A253,ISNUMBER(J252),ISNUMBER(J253)),(J253-J252)/($C253-$C252),"")</f>
        <v>1.737036236</v>
      </c>
      <c r="U252" s="14" t="n">
        <f aca="false">IF(AND($A252=$A253,ISNUMBER(N252),ISNUMBER(N253)),(N253-N252)/($C253-$C252),"")</f>
        <v>1.001209844</v>
      </c>
      <c r="V252" s="13" t="n">
        <f aca="false">IF(ISNUMBER(F252),ROUND(F252,0),"")</f>
        <v>74</v>
      </c>
      <c r="W252" s="13" t="n">
        <f aca="false">IF(ISNUMBER(J252),ROUND(J252,0),"")</f>
        <v>63</v>
      </c>
      <c r="X252" s="13" t="n">
        <f aca="false">IF(ISNUMBER(N252),ROUND(N252,0),"")</f>
        <v>91</v>
      </c>
      <c r="Y252" s="10" t="str">
        <f aca="false">IF(AND($A252=$A253,V252=100,V253=100),"full access","")</f>
        <v/>
      </c>
      <c r="Z252" s="10" t="str">
        <f aca="false">IF(AND($A252=$A253,W252=100,W253=100),"full access","")</f>
        <v/>
      </c>
      <c r="AA252" s="10" t="str">
        <f aca="false">IF(AND($A252=$A253,X252=100,X253=100),"full access","")</f>
        <v/>
      </c>
      <c r="AB252" s="14" t="n">
        <f aca="false">IF(AND(ISNUMBER(T252),ISNUMBER(U252)),T252-U252,"")</f>
        <v>0.735826391999997</v>
      </c>
    </row>
    <row r="253" customFormat="false" ht="15" hidden="false" customHeight="false" outlineLevel="0" collapsed="false">
      <c r="A253" s="10" t="s">
        <v>208</v>
      </c>
      <c r="B253" s="10" t="str">
        <f aca="false">IFERROR(INDEX('Region Lookup'!$B$2:$B$233,MATCH(A253,'Region Lookup'!$A$2:$A$233,0)),"Not found")</f>
        <v>Sub-Saharan Africa</v>
      </c>
      <c r="C253" s="10" t="n">
        <v>2020</v>
      </c>
      <c r="D253" s="11" t="n">
        <v>20250.83398</v>
      </c>
      <c r="E253" s="12" t="n">
        <v>43.90900421</v>
      </c>
      <c r="F253" s="12" t="n">
        <v>82.54729103</v>
      </c>
      <c r="G253" s="12" t="n">
        <v>3.854734527</v>
      </c>
      <c r="H253" s="12" t="n">
        <v>12.24697135</v>
      </c>
      <c r="I253" s="12" t="n">
        <v>1.35100309</v>
      </c>
      <c r="J253" s="12" t="n">
        <v>72.08089521</v>
      </c>
      <c r="K253" s="12" t="n">
        <v>3.78241223</v>
      </c>
      <c r="L253" s="12" t="n">
        <v>21.72810084</v>
      </c>
      <c r="M253" s="12" t="n">
        <v>2.408591717</v>
      </c>
      <c r="N253" s="12" t="n">
        <v>95.91745475</v>
      </c>
      <c r="O253" s="12" t="n">
        <v>3.947121723</v>
      </c>
      <c r="P253" s="12" t="n">
        <v>0.1354235314</v>
      </c>
      <c r="Q253" s="12" t="n">
        <v>0</v>
      </c>
      <c r="R253" s="13" t="str">
        <f aca="false">IF($A253=$A254,$C254-$C253,"")</f>
        <v/>
      </c>
      <c r="S253" s="14" t="str">
        <f aca="false">IF(AND($A253=$A254,ISNUMBER(F253),ISNUMBER(F254)),(F254-F253)/($C254-$C253),"")</f>
        <v/>
      </c>
      <c r="T253" s="14" t="str">
        <f aca="false">IF(AND($A253=$A254,ISNUMBER(J253),ISNUMBER(J254)),(J254-J253)/($C254-$C253),"")</f>
        <v/>
      </c>
      <c r="U253" s="14" t="str">
        <f aca="false">IF(AND($A253=$A254,ISNUMBER(N253),ISNUMBER(N254)),(N254-N253)/($C254-$C253),"")</f>
        <v/>
      </c>
      <c r="V253" s="13" t="n">
        <f aca="false">IF(ISNUMBER(F253),ROUND(F253,0),"")</f>
        <v>83</v>
      </c>
      <c r="W253" s="13" t="n">
        <f aca="false">IF(ISNUMBER(J253),ROUND(J253,0),"")</f>
        <v>72</v>
      </c>
      <c r="X253" s="13" t="n">
        <f aca="false">IF(ISNUMBER(N253),ROUND(N253,0),"")</f>
        <v>96</v>
      </c>
      <c r="Y253" s="10" t="str">
        <f aca="false">IF(AND($A253=$A254,V253=100,V254=100),"full access","")</f>
        <v/>
      </c>
      <c r="Z253" s="10" t="str">
        <f aca="false">IF(AND($A253=$A254,W253=100,W254=100),"full access","")</f>
        <v/>
      </c>
      <c r="AA253" s="10" t="str">
        <f aca="false">IF(AND($A253=$A254,X253=100,X254=100),"full access","")</f>
        <v/>
      </c>
      <c r="AB253" s="14" t="str">
        <f aca="false">IF(AND(ISNUMBER(T253),ISNUMBER(U253)),T253-U253,"")</f>
        <v/>
      </c>
    </row>
    <row r="254" customFormat="false" ht="15" hidden="false" customHeight="false" outlineLevel="0" collapsed="false">
      <c r="A254" s="4" t="s">
        <v>209</v>
      </c>
      <c r="B254" s="4" t="str">
        <f aca="false">IFERROR(INDEX('Region Lookup'!$B$2:$B$233,MATCH(A254,'Region Lookup'!$A$2:$A$233,0)),"Not found")</f>
        <v>Europe &amp; Central Asia</v>
      </c>
      <c r="C254" s="4" t="n">
        <v>2015</v>
      </c>
      <c r="D254" s="6" t="n">
        <v>433.5589905</v>
      </c>
      <c r="E254" s="7" t="n">
        <v>94.41400146</v>
      </c>
      <c r="F254" s="7" t="n">
        <v>100</v>
      </c>
      <c r="G254" s="7" t="n">
        <v>0</v>
      </c>
      <c r="H254" s="7" t="n">
        <v>0</v>
      </c>
      <c r="I254" s="7" t="n">
        <v>0</v>
      </c>
      <c r="J254" s="7" t="n">
        <v>100</v>
      </c>
      <c r="K254" s="7" t="n">
        <v>0</v>
      </c>
      <c r="L254" s="7" t="n">
        <v>0</v>
      </c>
      <c r="M254" s="7" t="n">
        <v>0</v>
      </c>
      <c r="N254" s="7" t="n">
        <v>100</v>
      </c>
      <c r="O254" s="7" t="n">
        <v>0</v>
      </c>
      <c r="P254" s="7" t="n">
        <v>0</v>
      </c>
      <c r="Q254" s="7" t="n">
        <v>0</v>
      </c>
      <c r="R254" s="8" t="n">
        <f aca="false">IF($A254=$A255,$C255-$C254,"")</f>
        <v>5</v>
      </c>
      <c r="S254" s="9" t="n">
        <f aca="false">IF(AND($A254=$A255,ISNUMBER(F254),ISNUMBER(F255)),(F255-F254)/($C255-$C254),"")</f>
        <v>8.00000009348878E-008</v>
      </c>
      <c r="T254" s="9" t="n">
        <f aca="false">IF(AND($A254=$A255,ISNUMBER(J254),ISNUMBER(J255)),(J255-J254)/($C255-$C254),"")</f>
        <v>0</v>
      </c>
      <c r="U254" s="9" t="n">
        <f aca="false">IF(AND($A254=$A255,ISNUMBER(N254),ISNUMBER(N255)),(N255-N254)/($C255-$C254),"")</f>
        <v>0</v>
      </c>
      <c r="V254" s="8" t="n">
        <f aca="false">IF(ISNUMBER(F254),ROUND(F254,0),"")</f>
        <v>100</v>
      </c>
      <c r="W254" s="8" t="n">
        <f aca="false">IF(ISNUMBER(J254),ROUND(J254,0),"")</f>
        <v>100</v>
      </c>
      <c r="X254" s="8" t="n">
        <f aca="false">IF(ISNUMBER(N254),ROUND(N254,0),"")</f>
        <v>100</v>
      </c>
      <c r="Y254" s="4" t="str">
        <f aca="false">IF(AND($A254=$A255,V254=100,V255=100),"full access","")</f>
        <v>full access</v>
      </c>
      <c r="Z254" s="4" t="str">
        <f aca="false">IF(AND($A254=$A255,W254=100,W255=100),"full access","")</f>
        <v>full access</v>
      </c>
      <c r="AA254" s="4" t="str">
        <f aca="false">IF(AND($A254=$A255,X254=100,X255=100),"full access","")</f>
        <v>full access</v>
      </c>
      <c r="AB254" s="9" t="n">
        <f aca="false">IF(AND(ISNUMBER(T254),ISNUMBER(U254)),T254-U254,"")</f>
        <v>0</v>
      </c>
    </row>
    <row r="255" customFormat="false" ht="15" hidden="false" customHeight="false" outlineLevel="0" collapsed="false">
      <c r="A255" s="4" t="s">
        <v>209</v>
      </c>
      <c r="B255" s="4" t="str">
        <f aca="false">IFERROR(INDEX('Region Lookup'!$B$2:$B$233,MATCH(A255,'Region Lookup'!$A$2:$A$233,0)),"Not found")</f>
        <v>Europe &amp; Central Asia</v>
      </c>
      <c r="C255" s="4" t="n">
        <v>2020</v>
      </c>
      <c r="D255" s="6" t="n">
        <v>441.5390015</v>
      </c>
      <c r="E255" s="7" t="n">
        <v>94.7440033</v>
      </c>
      <c r="F255" s="7" t="n">
        <v>100.0000004</v>
      </c>
      <c r="G255" s="7" t="n">
        <v>0</v>
      </c>
      <c r="H255" s="7" t="n">
        <v>0</v>
      </c>
      <c r="I255" s="7" t="n">
        <v>0</v>
      </c>
      <c r="J255" s="7" t="n">
        <v>100</v>
      </c>
      <c r="K255" s="7" t="n">
        <v>0</v>
      </c>
      <c r="L255" s="7" t="n">
        <v>0</v>
      </c>
      <c r="M255" s="7" t="n">
        <v>0</v>
      </c>
      <c r="N255" s="7" t="n">
        <v>100</v>
      </c>
      <c r="O255" s="7" t="n">
        <v>0</v>
      </c>
      <c r="P255" s="7" t="n">
        <v>0</v>
      </c>
      <c r="Q255" s="7" t="n">
        <v>0</v>
      </c>
      <c r="R255" s="8" t="str">
        <f aca="false">IF($A255=$A256,$C256-$C255,"")</f>
        <v/>
      </c>
      <c r="S255" s="9" t="str">
        <f aca="false">IF(AND($A255=$A256,ISNUMBER(F255),ISNUMBER(F256)),(F256-F255)/($C256-$C255),"")</f>
        <v/>
      </c>
      <c r="T255" s="9" t="str">
        <f aca="false">IF(AND($A255=$A256,ISNUMBER(J255),ISNUMBER(J256)),(J256-J255)/($C256-$C255),"")</f>
        <v/>
      </c>
      <c r="U255" s="9" t="str">
        <f aca="false">IF(AND($A255=$A256,ISNUMBER(N255),ISNUMBER(N256)),(N256-N255)/($C256-$C255),"")</f>
        <v/>
      </c>
      <c r="V255" s="8" t="n">
        <f aca="false">IF(ISNUMBER(F255),ROUND(F255,0),"")</f>
        <v>100</v>
      </c>
      <c r="W255" s="8" t="n">
        <f aca="false">IF(ISNUMBER(J255),ROUND(J255,0),"")</f>
        <v>100</v>
      </c>
      <c r="X255" s="8" t="n">
        <f aca="false">IF(ISNUMBER(N255),ROUND(N255,0),"")</f>
        <v>100</v>
      </c>
      <c r="Y255" s="4" t="str">
        <f aca="false">IF(AND($A255=$A256,V255=100,V256=100),"full access","")</f>
        <v/>
      </c>
      <c r="Z255" s="4" t="str">
        <f aca="false">IF(AND($A255=$A256,W255=100,W256=100),"full access","")</f>
        <v/>
      </c>
      <c r="AA255" s="4" t="str">
        <f aca="false">IF(AND($A255=$A256,X255=100,X256=100),"full access","")</f>
        <v/>
      </c>
      <c r="AB255" s="9" t="str">
        <f aca="false">IF(AND(ISNUMBER(T255),ISNUMBER(U255)),T255-U255,"")</f>
        <v/>
      </c>
    </row>
    <row r="256" customFormat="false" ht="15" hidden="false" customHeight="false" outlineLevel="0" collapsed="false">
      <c r="A256" s="10" t="s">
        <v>210</v>
      </c>
      <c r="B256" s="10" t="str">
        <f aca="false">IFERROR(INDEX('Region Lookup'!$B$2:$B$233,MATCH(A256,'Region Lookup'!$A$2:$A$233,0)),"Not found")</f>
        <v>East Asia &amp; Pacific</v>
      </c>
      <c r="C256" s="10" t="n">
        <v>2015</v>
      </c>
      <c r="D256" s="11" t="n">
        <v>57.44400024</v>
      </c>
      <c r="E256" s="12" t="n">
        <v>75.81099701</v>
      </c>
      <c r="F256" s="12" t="n">
        <v>88.34252362</v>
      </c>
      <c r="G256" s="12" t="n">
        <v>11.18141559</v>
      </c>
      <c r="H256" s="12" t="n">
        <v>0.4760607918</v>
      </c>
      <c r="I256" s="12" t="n">
        <v>0</v>
      </c>
      <c r="J256" s="12" t="n">
        <v>94.27836</v>
      </c>
      <c r="K256" s="12" t="n">
        <v>5.38164</v>
      </c>
      <c r="L256" s="12" t="n">
        <v>0.34</v>
      </c>
      <c r="M256" s="12" t="n">
        <v>0</v>
      </c>
      <c r="N256" s="12" t="n">
        <v>86.44857737</v>
      </c>
      <c r="O256" s="12" t="n">
        <v>13.03194895</v>
      </c>
      <c r="P256" s="12" t="n">
        <v>0.5194736842</v>
      </c>
      <c r="Q256" s="12" t="n">
        <v>0</v>
      </c>
      <c r="R256" s="13" t="n">
        <f aca="false">IF($A256=$A257,$C257-$C256,"")</f>
        <v>5</v>
      </c>
      <c r="S256" s="14" t="n">
        <f aca="false">IF(AND($A256=$A257,ISNUMBER(F256),ISNUMBER(F257)),(F257-F256)/($C257-$C256),"")</f>
        <v>0.0459046720000004</v>
      </c>
      <c r="T256" s="14" t="n">
        <f aca="false">IF(AND($A256=$A257,ISNUMBER(J256),ISNUMBER(J257)),(J257-J256)/($C257-$C256),"")</f>
        <v>0.0302719999999994</v>
      </c>
      <c r="U256" s="14" t="n">
        <f aca="false">IF(AND($A256=$A257,ISNUMBER(N256),ISNUMBER(N257)),(N257-N256)/($C257-$C256),"")</f>
        <v>0.0902845260000021</v>
      </c>
      <c r="V256" s="13" t="n">
        <f aca="false">IF(ISNUMBER(F256),ROUND(F256,0),"")</f>
        <v>88</v>
      </c>
      <c r="W256" s="13" t="n">
        <f aca="false">IF(ISNUMBER(J256),ROUND(J256,0),"")</f>
        <v>94</v>
      </c>
      <c r="X256" s="13" t="n">
        <f aca="false">IF(ISNUMBER(N256),ROUND(N256,0),"")</f>
        <v>86</v>
      </c>
      <c r="Y256" s="10" t="str">
        <f aca="false">IF(AND($A256=$A257,V256=100,V257=100),"full access","")</f>
        <v/>
      </c>
      <c r="Z256" s="10" t="str">
        <f aca="false">IF(AND($A256=$A257,W256=100,W257=100),"full access","")</f>
        <v/>
      </c>
      <c r="AA256" s="10" t="str">
        <f aca="false">IF(AND($A256=$A257,X256=100,X257=100),"full access","")</f>
        <v/>
      </c>
      <c r="AB256" s="14" t="n">
        <f aca="false">IF(AND(ISNUMBER(T256),ISNUMBER(U256)),T256-U256,"")</f>
        <v>-0.0600125260000027</v>
      </c>
    </row>
    <row r="257" customFormat="false" ht="15" hidden="false" customHeight="false" outlineLevel="0" collapsed="false">
      <c r="A257" s="10" t="s">
        <v>210</v>
      </c>
      <c r="B257" s="10" t="str">
        <f aca="false">IFERROR(INDEX('Region Lookup'!$B$2:$B$233,MATCH(A257,'Region Lookup'!$A$2:$A$233,0)),"Not found")</f>
        <v>East Asia &amp; Pacific</v>
      </c>
      <c r="C257" s="10" t="n">
        <v>2020</v>
      </c>
      <c r="D257" s="11" t="n">
        <v>59.19400024</v>
      </c>
      <c r="E257" s="12" t="n">
        <v>77.79399109</v>
      </c>
      <c r="F257" s="12" t="n">
        <v>88.57204698</v>
      </c>
      <c r="G257" s="12" t="n">
        <v>11.387979</v>
      </c>
      <c r="H257" s="12" t="n">
        <v>0.03997402585</v>
      </c>
      <c r="I257" s="12" t="n">
        <v>0</v>
      </c>
      <c r="J257" s="12" t="n">
        <v>94.42972</v>
      </c>
      <c r="K257" s="12" t="n">
        <v>5.39028</v>
      </c>
      <c r="L257" s="12" t="n">
        <v>0.18</v>
      </c>
      <c r="M257" s="12" t="n">
        <v>0</v>
      </c>
      <c r="N257" s="12" t="n">
        <v>86.9</v>
      </c>
      <c r="O257" s="12" t="n">
        <v>13.1</v>
      </c>
      <c r="P257" s="12" t="n">
        <v>0</v>
      </c>
      <c r="Q257" s="12" t="n">
        <v>0</v>
      </c>
      <c r="R257" s="13" t="str">
        <f aca="false">IF($A257=$A258,$C258-$C257,"")</f>
        <v/>
      </c>
      <c r="S257" s="14" t="str">
        <f aca="false">IF(AND($A257=$A258,ISNUMBER(F257),ISNUMBER(F258)),(F258-F257)/($C258-$C257),"")</f>
        <v/>
      </c>
      <c r="T257" s="14" t="str">
        <f aca="false">IF(AND($A257=$A258,ISNUMBER(J257),ISNUMBER(J258)),(J258-J257)/($C258-$C257),"")</f>
        <v/>
      </c>
      <c r="U257" s="14" t="str">
        <f aca="false">IF(AND($A257=$A258,ISNUMBER(N257),ISNUMBER(N258)),(N258-N257)/($C258-$C257),"")</f>
        <v/>
      </c>
      <c r="V257" s="13" t="n">
        <f aca="false">IF(ISNUMBER(F257),ROUND(F257,0),"")</f>
        <v>89</v>
      </c>
      <c r="W257" s="13" t="n">
        <f aca="false">IF(ISNUMBER(J257),ROUND(J257,0),"")</f>
        <v>94</v>
      </c>
      <c r="X257" s="13" t="n">
        <f aca="false">IF(ISNUMBER(N257),ROUND(N257,0),"")</f>
        <v>87</v>
      </c>
      <c r="Y257" s="10" t="str">
        <f aca="false">IF(AND($A257=$A258,V257=100,V258=100),"full access","")</f>
        <v/>
      </c>
      <c r="Z257" s="10" t="str">
        <f aca="false">IF(AND($A257=$A258,W257=100,W258=100),"full access","")</f>
        <v/>
      </c>
      <c r="AA257" s="10" t="str">
        <f aca="false">IF(AND($A257=$A258,X257=100,X258=100),"full access","")</f>
        <v/>
      </c>
      <c r="AB257" s="14" t="str">
        <f aca="false">IF(AND(ISNUMBER(T257),ISNUMBER(U257)),T257-U257,"")</f>
        <v/>
      </c>
    </row>
    <row r="258" customFormat="false" ht="15" hidden="false" customHeight="false" outlineLevel="0" collapsed="false">
      <c r="A258" s="4" t="s">
        <v>211</v>
      </c>
      <c r="B258" s="4" t="str">
        <f aca="false">IFERROR(INDEX('Region Lookup'!$B$2:$B$233,MATCH(A258,'Region Lookup'!$A$2:$A$233,0)),"Not found")</f>
        <v>Latin America &amp; Caribbean</v>
      </c>
      <c r="C258" s="4" t="n">
        <v>2015</v>
      </c>
      <c r="D258" s="6" t="n">
        <v>378.4830017</v>
      </c>
      <c r="E258" s="7" t="n">
        <v>88.98100281</v>
      </c>
      <c r="F258" s="7" t="n">
        <v>99.79603</v>
      </c>
      <c r="G258" s="7" t="n">
        <v>0</v>
      </c>
      <c r="H258" s="7" t="n">
        <v>0.2039699954</v>
      </c>
      <c r="I258" s="7" t="n">
        <v>0</v>
      </c>
      <c r="J258" s="7"/>
      <c r="K258" s="7"/>
      <c r="L258" s="7"/>
      <c r="M258" s="7"/>
      <c r="N258" s="7"/>
      <c r="O258" s="7"/>
      <c r="P258" s="7"/>
      <c r="Q258" s="7"/>
      <c r="R258" s="8" t="n">
        <f aca="false">IF($A258=$A259,$C259-$C258,"")</f>
        <v>5</v>
      </c>
      <c r="S258" s="9" t="n">
        <f aca="false">IF(AND($A258=$A259,ISNUMBER(F258),ISNUMBER(F259)),(F259-F258)/($C259-$C258),"")</f>
        <v>0.00918815599999903</v>
      </c>
      <c r="T258" s="9" t="str">
        <f aca="false">IF(AND($A258=$A259,ISNUMBER(J258),ISNUMBER(J259)),(J259-J258)/($C259-$C258),"")</f>
        <v/>
      </c>
      <c r="U258" s="9" t="str">
        <f aca="false">IF(AND($A258=$A259,ISNUMBER(N258),ISNUMBER(N259)),(N259-N258)/($C259-$C258),"")</f>
        <v/>
      </c>
      <c r="V258" s="8" t="n">
        <f aca="false">IF(ISNUMBER(F258),ROUND(F258,0),"")</f>
        <v>100</v>
      </c>
      <c r="W258" s="8" t="str">
        <f aca="false">IF(ISNUMBER(J258),ROUND(J258,0),"")</f>
        <v/>
      </c>
      <c r="X258" s="8" t="str">
        <f aca="false">IF(ISNUMBER(N258),ROUND(N258,0),"")</f>
        <v/>
      </c>
      <c r="Y258" s="4" t="str">
        <f aca="false">IF(AND($A258=$A259,V258=100,V259=100),"full access","")</f>
        <v>full access</v>
      </c>
      <c r="Z258" s="4" t="str">
        <f aca="false">IF(AND($A258=$A259,W258=100,W259=100),"full access","")</f>
        <v/>
      </c>
      <c r="AA258" s="4" t="str">
        <f aca="false">IF(AND($A258=$A259,X258=100,X259=100),"full access","")</f>
        <v/>
      </c>
      <c r="AB258" s="9" t="str">
        <f aca="false">IF(AND(ISNUMBER(T258),ISNUMBER(U258)),T258-U258,"")</f>
        <v/>
      </c>
    </row>
    <row r="259" customFormat="false" ht="15" hidden="false" customHeight="false" outlineLevel="0" collapsed="false">
      <c r="A259" s="4" t="s">
        <v>211</v>
      </c>
      <c r="B259" s="4" t="str">
        <f aca="false">IFERROR(INDEX('Region Lookup'!$B$2:$B$233,MATCH(A259,'Region Lookup'!$A$2:$A$233,0)),"Not found")</f>
        <v>Latin America &amp; Caribbean</v>
      </c>
      <c r="C259" s="4" t="n">
        <v>2020</v>
      </c>
      <c r="D259" s="6" t="n">
        <v>375.2650146</v>
      </c>
      <c r="E259" s="7" t="n">
        <v>89.13999939</v>
      </c>
      <c r="F259" s="7" t="n">
        <v>99.84197078</v>
      </c>
      <c r="G259" s="7" t="n">
        <v>0</v>
      </c>
      <c r="H259" s="7" t="n">
        <v>0.1580292158</v>
      </c>
      <c r="I259" s="7" t="n">
        <v>0</v>
      </c>
      <c r="J259" s="7"/>
      <c r="K259" s="7"/>
      <c r="L259" s="7"/>
      <c r="M259" s="7"/>
      <c r="N259" s="7"/>
      <c r="O259" s="7"/>
      <c r="P259" s="7"/>
      <c r="Q259" s="7"/>
      <c r="R259" s="8" t="str">
        <f aca="false">IF($A259=$A260,$C260-$C259,"")</f>
        <v/>
      </c>
      <c r="S259" s="9" t="str">
        <f aca="false">IF(AND($A259=$A260,ISNUMBER(F259),ISNUMBER(F260)),(F260-F259)/($C260-$C259),"")</f>
        <v/>
      </c>
      <c r="T259" s="9" t="str">
        <f aca="false">IF(AND($A259=$A260,ISNUMBER(J259),ISNUMBER(J260)),(J260-J259)/($C260-$C259),"")</f>
        <v/>
      </c>
      <c r="U259" s="9" t="str">
        <f aca="false">IF(AND($A259=$A260,ISNUMBER(N259),ISNUMBER(N260)),(N260-N259)/($C260-$C259),"")</f>
        <v/>
      </c>
      <c r="V259" s="8" t="n">
        <f aca="false">IF(ISNUMBER(F259),ROUND(F259,0),"")</f>
        <v>100</v>
      </c>
      <c r="W259" s="8" t="str">
        <f aca="false">IF(ISNUMBER(J259),ROUND(J259,0),"")</f>
        <v/>
      </c>
      <c r="X259" s="8" t="str">
        <f aca="false">IF(ISNUMBER(N259),ROUND(N259,0),"")</f>
        <v/>
      </c>
      <c r="Y259" s="4" t="str">
        <f aca="false">IF(AND($A259=$A260,V259=100,V260=100),"full access","")</f>
        <v/>
      </c>
      <c r="Z259" s="4" t="str">
        <f aca="false">IF(AND($A259=$A260,W259=100,W260=100),"full access","")</f>
        <v/>
      </c>
      <c r="AA259" s="4" t="str">
        <f aca="false">IF(AND($A259=$A260,X259=100,X260=100),"full access","")</f>
        <v/>
      </c>
      <c r="AB259" s="9" t="str">
        <f aca="false">IF(AND(ISNUMBER(T259),ISNUMBER(U259)),T259-U259,"")</f>
        <v/>
      </c>
    </row>
    <row r="260" customFormat="false" ht="15" hidden="false" customHeight="false" outlineLevel="0" collapsed="false">
      <c r="A260" s="10" t="s">
        <v>212</v>
      </c>
      <c r="B260" s="10" t="str">
        <f aca="false">IFERROR(INDEX('Region Lookup'!$B$2:$B$233,MATCH(A260,'Region Lookup'!$A$2:$A$233,0)),"Not found")</f>
        <v>Sub-Saharan Africa</v>
      </c>
      <c r="C260" s="10" t="n">
        <v>2015</v>
      </c>
      <c r="D260" s="11" t="n">
        <v>4046.303955</v>
      </c>
      <c r="E260" s="12" t="n">
        <v>51.0890007</v>
      </c>
      <c r="F260" s="12" t="n">
        <v>66.9733094</v>
      </c>
      <c r="G260" s="12" t="n">
        <v>14.81165357</v>
      </c>
      <c r="H260" s="12" t="n">
        <v>17.63702375</v>
      </c>
      <c r="I260" s="12" t="n">
        <v>0.5780132824</v>
      </c>
      <c r="J260" s="12" t="n">
        <v>46.69284218</v>
      </c>
      <c r="K260" s="12" t="n">
        <v>18.20063085</v>
      </c>
      <c r="L260" s="12" t="n">
        <v>33.9247615</v>
      </c>
      <c r="M260" s="12" t="n">
        <v>1.181765464</v>
      </c>
      <c r="N260" s="12" t="n">
        <v>86.38918859</v>
      </c>
      <c r="O260" s="12" t="n">
        <v>11.56715369</v>
      </c>
      <c r="P260" s="12" t="n">
        <v>2.043657719</v>
      </c>
      <c r="Q260" s="12" t="n">
        <v>0</v>
      </c>
      <c r="R260" s="13" t="n">
        <f aca="false">IF($A260=$A261,$C261-$C260,"")</f>
        <v>5</v>
      </c>
      <c r="S260" s="14" t="n">
        <f aca="false">IF(AND($A260=$A261,ISNUMBER(F260),ISNUMBER(F261)),(F261-F260)/($C261-$C260),"")</f>
        <v>0.941547965999999</v>
      </c>
      <c r="T260" s="14" t="n">
        <f aca="false">IF(AND($A260=$A261,ISNUMBER(J260),ISNUMBER(J261)),(J261-J260)/($C261-$C260),"")</f>
        <v>0.643699344</v>
      </c>
      <c r="U260" s="14" t="n">
        <f aca="false">IF(AND($A260=$A261,ISNUMBER(N260),ISNUMBER(N261)),(N261-N260)/($C261-$C260),"")</f>
        <v>0.573901211999998</v>
      </c>
      <c r="V260" s="13" t="n">
        <f aca="false">IF(ISNUMBER(F260),ROUND(F260,0),"")</f>
        <v>67</v>
      </c>
      <c r="W260" s="13" t="n">
        <f aca="false">IF(ISNUMBER(J260),ROUND(J260,0),"")</f>
        <v>47</v>
      </c>
      <c r="X260" s="13" t="n">
        <f aca="false">IF(ISNUMBER(N260),ROUND(N260,0),"")</f>
        <v>86</v>
      </c>
      <c r="Y260" s="10" t="str">
        <f aca="false">IF(AND($A260=$A261,V260=100,V261=100),"full access","")</f>
        <v/>
      </c>
      <c r="Z260" s="10" t="str">
        <f aca="false">IF(AND($A260=$A261,W260=100,W261=100),"full access","")</f>
        <v/>
      </c>
      <c r="AA260" s="10" t="str">
        <f aca="false">IF(AND($A260=$A261,X260=100,X261=100),"full access","")</f>
        <v/>
      </c>
      <c r="AB260" s="14" t="n">
        <f aca="false">IF(AND(ISNUMBER(T260),ISNUMBER(U260)),T260-U260,"")</f>
        <v>0.0697981320000011</v>
      </c>
    </row>
    <row r="261" customFormat="false" ht="15" hidden="false" customHeight="false" outlineLevel="0" collapsed="false">
      <c r="A261" s="10" t="s">
        <v>212</v>
      </c>
      <c r="B261" s="10" t="str">
        <f aca="false">IFERROR(INDEX('Region Lookup'!$B$2:$B$233,MATCH(A261,'Region Lookup'!$A$2:$A$233,0)),"Not found")</f>
        <v>Sub-Saharan Africa</v>
      </c>
      <c r="C261" s="10" t="n">
        <v>2020</v>
      </c>
      <c r="D261" s="11" t="n">
        <v>4649.660156</v>
      </c>
      <c r="E261" s="12" t="n">
        <v>55.32699585</v>
      </c>
      <c r="F261" s="12" t="n">
        <v>71.68104923</v>
      </c>
      <c r="G261" s="12" t="n">
        <v>13.47689193</v>
      </c>
      <c r="H261" s="12" t="n">
        <v>14.82032681</v>
      </c>
      <c r="I261" s="12" t="n">
        <v>0.02173203433</v>
      </c>
      <c r="J261" s="12" t="n">
        <v>49.9113389</v>
      </c>
      <c r="K261" s="12" t="n">
        <v>18.49039689</v>
      </c>
      <c r="L261" s="12" t="n">
        <v>31.5496173</v>
      </c>
      <c r="M261" s="12" t="n">
        <v>0.04864690722</v>
      </c>
      <c r="N261" s="12" t="n">
        <v>89.25869465</v>
      </c>
      <c r="O261" s="12" t="n">
        <v>9.428808083</v>
      </c>
      <c r="P261" s="12" t="n">
        <v>1.31249727</v>
      </c>
      <c r="Q261" s="12" t="n">
        <v>0</v>
      </c>
      <c r="R261" s="13" t="str">
        <f aca="false">IF($A261=$A262,$C262-$C261,"")</f>
        <v/>
      </c>
      <c r="S261" s="14" t="str">
        <f aca="false">IF(AND($A261=$A262,ISNUMBER(F261),ISNUMBER(F262)),(F262-F261)/($C262-$C261),"")</f>
        <v/>
      </c>
      <c r="T261" s="14" t="str">
        <f aca="false">IF(AND($A261=$A262,ISNUMBER(J261),ISNUMBER(J262)),(J262-J261)/($C262-$C261),"")</f>
        <v/>
      </c>
      <c r="U261" s="14" t="str">
        <f aca="false">IF(AND($A261=$A262,ISNUMBER(N261),ISNUMBER(N262)),(N262-N261)/($C262-$C261),"")</f>
        <v/>
      </c>
      <c r="V261" s="13" t="n">
        <f aca="false">IF(ISNUMBER(F261),ROUND(F261,0),"")</f>
        <v>72</v>
      </c>
      <c r="W261" s="13" t="n">
        <f aca="false">IF(ISNUMBER(J261),ROUND(J261,0),"")</f>
        <v>50</v>
      </c>
      <c r="X261" s="13" t="n">
        <f aca="false">IF(ISNUMBER(N261),ROUND(N261,0),"")</f>
        <v>89</v>
      </c>
      <c r="Y261" s="10" t="str">
        <f aca="false">IF(AND($A261=$A262,V261=100,V262=100),"full access","")</f>
        <v/>
      </c>
      <c r="Z261" s="10" t="str">
        <f aca="false">IF(AND($A261=$A262,W261=100,W262=100),"full access","")</f>
        <v/>
      </c>
      <c r="AA261" s="10" t="str">
        <f aca="false">IF(AND($A261=$A262,X261=100,X262=100),"full access","")</f>
        <v/>
      </c>
      <c r="AB261" s="14" t="str">
        <f aca="false">IF(AND(ISNUMBER(T261),ISNUMBER(U261)),T261-U261,"")</f>
        <v/>
      </c>
    </row>
    <row r="262" customFormat="false" ht="15" hidden="false" customHeight="false" outlineLevel="0" collapsed="false">
      <c r="A262" s="4" t="s">
        <v>213</v>
      </c>
      <c r="B262" s="4" t="str">
        <f aca="false">IFERROR(INDEX('Region Lookup'!$B$2:$B$233,MATCH(A262,'Region Lookup'!$A$2:$A$233,0)),"Not found")</f>
        <v>Sub-Saharan Africa</v>
      </c>
      <c r="C262" s="4" t="n">
        <v>2015</v>
      </c>
      <c r="D262" s="6" t="n">
        <v>1259.457031</v>
      </c>
      <c r="E262" s="7" t="n">
        <v>41</v>
      </c>
      <c r="F262" s="7" t="n">
        <v>99.86648182</v>
      </c>
      <c r="G262" s="7" t="n">
        <v>0</v>
      </c>
      <c r="H262" s="7" t="n">
        <v>0.1335181809</v>
      </c>
      <c r="I262" s="7" t="n">
        <v>0</v>
      </c>
      <c r="J262" s="7" t="n">
        <v>99.82768234</v>
      </c>
      <c r="K262" s="7" t="n">
        <v>0</v>
      </c>
      <c r="L262" s="7" t="n">
        <v>0.1723176618</v>
      </c>
      <c r="M262" s="7" t="n">
        <v>0</v>
      </c>
      <c r="N262" s="7" t="n">
        <v>99.92231522</v>
      </c>
      <c r="O262" s="7" t="n">
        <v>0</v>
      </c>
      <c r="P262" s="7" t="n">
        <v>0.07768478119</v>
      </c>
      <c r="Q262" s="7" t="n">
        <v>0</v>
      </c>
      <c r="R262" s="8" t="n">
        <f aca="false">IF($A262=$A263,$C263-$C262,"")</f>
        <v>5</v>
      </c>
      <c r="S262" s="9" t="n">
        <f aca="false">IF(AND($A262=$A263,ISNUMBER(F262),ISNUMBER(F263)),(F263-F262)/($C263-$C262),"")</f>
        <v>-4.54240000010486E-005</v>
      </c>
      <c r="T262" s="9" t="n">
        <f aca="false">IF(AND($A262=$A263,ISNUMBER(J262),ISNUMBER(J263)),(J263-J262)/($C263-$C262),"")</f>
        <v>0</v>
      </c>
      <c r="U262" s="9" t="n">
        <f aca="false">IF(AND($A262=$A263,ISNUMBER(N262),ISNUMBER(N263)),(N263-N262)/($C263-$C262),"")</f>
        <v>0</v>
      </c>
      <c r="V262" s="8" t="n">
        <f aca="false">IF(ISNUMBER(F262),ROUND(F262,0),"")</f>
        <v>100</v>
      </c>
      <c r="W262" s="8" t="n">
        <f aca="false">IF(ISNUMBER(J262),ROUND(J262,0),"")</f>
        <v>100</v>
      </c>
      <c r="X262" s="8" t="n">
        <f aca="false">IF(ISNUMBER(N262),ROUND(N262,0),"")</f>
        <v>100</v>
      </c>
      <c r="Y262" s="4" t="str">
        <f aca="false">IF(AND($A262=$A263,V262=100,V263=100),"full access","")</f>
        <v>full access</v>
      </c>
      <c r="Z262" s="4" t="str">
        <f aca="false">IF(AND($A262=$A263,W262=100,W263=100),"full access","")</f>
        <v>full access</v>
      </c>
      <c r="AA262" s="4" t="str">
        <f aca="false">IF(AND($A262=$A263,X262=100,X263=100),"full access","")</f>
        <v>full access</v>
      </c>
      <c r="AB262" s="9" t="n">
        <f aca="false">IF(AND(ISNUMBER(T262),ISNUMBER(U262)),T262-U262,"")</f>
        <v>0</v>
      </c>
    </row>
    <row r="263" customFormat="false" ht="15" hidden="false" customHeight="false" outlineLevel="0" collapsed="false">
      <c r="A263" s="4" t="s">
        <v>213</v>
      </c>
      <c r="B263" s="4" t="str">
        <f aca="false">IFERROR(INDEX('Region Lookup'!$B$2:$B$233,MATCH(A263,'Region Lookup'!$A$2:$A$233,0)),"Not found")</f>
        <v>Sub-Saharan Africa</v>
      </c>
      <c r="C263" s="4" t="n">
        <v>2020</v>
      </c>
      <c r="D263" s="6" t="n">
        <v>1271.766968</v>
      </c>
      <c r="E263" s="7" t="n">
        <v>40.75999832</v>
      </c>
      <c r="F263" s="7" t="n">
        <v>99.8662547</v>
      </c>
      <c r="G263" s="7" t="n">
        <v>0</v>
      </c>
      <c r="H263" s="7" t="n">
        <v>0.1337453014</v>
      </c>
      <c r="I263" s="7" t="n">
        <v>0</v>
      </c>
      <c r="J263" s="7" t="n">
        <v>99.82768234</v>
      </c>
      <c r="K263" s="7" t="n">
        <v>0</v>
      </c>
      <c r="L263" s="7" t="n">
        <v>0.1723176618</v>
      </c>
      <c r="M263" s="7" t="n">
        <v>0</v>
      </c>
      <c r="N263" s="7" t="n">
        <v>99.92231522</v>
      </c>
      <c r="O263" s="7" t="n">
        <v>0</v>
      </c>
      <c r="P263" s="7" t="n">
        <v>0.07768478119</v>
      </c>
      <c r="Q263" s="7" t="n">
        <v>0</v>
      </c>
      <c r="R263" s="8" t="str">
        <f aca="false">IF($A263=$A264,$C264-$C263,"")</f>
        <v/>
      </c>
      <c r="S263" s="9" t="str">
        <f aca="false">IF(AND($A263=$A264,ISNUMBER(F263),ISNUMBER(F264)),(F264-F263)/($C264-$C263),"")</f>
        <v/>
      </c>
      <c r="T263" s="9" t="str">
        <f aca="false">IF(AND($A263=$A264,ISNUMBER(J263),ISNUMBER(J264)),(J264-J263)/($C264-$C263),"")</f>
        <v/>
      </c>
      <c r="U263" s="9" t="str">
        <f aca="false">IF(AND($A263=$A264,ISNUMBER(N263),ISNUMBER(N264)),(N264-N263)/($C264-$C263),"")</f>
        <v/>
      </c>
      <c r="V263" s="8" t="n">
        <f aca="false">IF(ISNUMBER(F263),ROUND(F263,0),"")</f>
        <v>100</v>
      </c>
      <c r="W263" s="8" t="n">
        <f aca="false">IF(ISNUMBER(J263),ROUND(J263,0),"")</f>
        <v>100</v>
      </c>
      <c r="X263" s="8" t="n">
        <f aca="false">IF(ISNUMBER(N263),ROUND(N263,0),"")</f>
        <v>100</v>
      </c>
      <c r="Y263" s="4" t="str">
        <f aca="false">IF(AND($A263=$A264,V263=100,V264=100),"full access","")</f>
        <v/>
      </c>
      <c r="Z263" s="4" t="str">
        <f aca="false">IF(AND($A263=$A264,W263=100,W264=100),"full access","")</f>
        <v/>
      </c>
      <c r="AA263" s="4" t="str">
        <f aca="false">IF(AND($A263=$A264,X263=100,X264=100),"full access","")</f>
        <v/>
      </c>
      <c r="AB263" s="9" t="str">
        <f aca="false">IF(AND(ISNUMBER(T263),ISNUMBER(U263)),T263-U263,"")</f>
        <v/>
      </c>
    </row>
    <row r="264" customFormat="false" ht="15" hidden="false" customHeight="false" outlineLevel="0" collapsed="false">
      <c r="A264" s="10" t="s">
        <v>214</v>
      </c>
      <c r="B264" s="10" t="str">
        <f aca="false">IFERROR(INDEX('Region Lookup'!$B$2:$B$233,MATCH(A264,'Region Lookup'!$A$2:$A$233,0)),"Not found")</f>
        <v>Sub-Saharan Africa</v>
      </c>
      <c r="C264" s="10" t="n">
        <v>2015</v>
      </c>
      <c r="D264" s="11" t="n">
        <v>240.0110016</v>
      </c>
      <c r="E264" s="12" t="n">
        <v>46.98900223</v>
      </c>
      <c r="F264" s="12" t="n">
        <v>96.83781128</v>
      </c>
      <c r="G264" s="12" t="n">
        <v>0</v>
      </c>
      <c r="H264" s="12" t="n">
        <v>0.2820184669</v>
      </c>
      <c r="I264" s="12" t="n">
        <v>2.880170256</v>
      </c>
      <c r="J264" s="12"/>
      <c r="K264" s="12"/>
      <c r="L264" s="12"/>
      <c r="M264" s="12"/>
      <c r="N264" s="12"/>
      <c r="O264" s="12"/>
      <c r="P264" s="12"/>
      <c r="Q264" s="12"/>
      <c r="R264" s="13" t="n">
        <f aca="false">IF($A264=$A265,$C265-$C264,"")</f>
        <v>5</v>
      </c>
      <c r="S264" s="14" t="n">
        <f aca="false">IF(AND($A264=$A265,ISNUMBER(F264),ISNUMBER(F265)),(F265-F264)/($C265-$C264),"")</f>
        <v>-0.093326313999998</v>
      </c>
      <c r="T264" s="14" t="str">
        <f aca="false">IF(AND($A264=$A265,ISNUMBER(J264),ISNUMBER(J265)),(J265-J264)/($C265-$C264),"")</f>
        <v/>
      </c>
      <c r="U264" s="14" t="str">
        <f aca="false">IF(AND($A264=$A265,ISNUMBER(N264),ISNUMBER(N265)),(N265-N264)/($C265-$C264),"")</f>
        <v/>
      </c>
      <c r="V264" s="13" t="n">
        <f aca="false">IF(ISNUMBER(F264),ROUND(F264,0),"")</f>
        <v>97</v>
      </c>
      <c r="W264" s="13" t="str">
        <f aca="false">IF(ISNUMBER(J264),ROUND(J264,0),"")</f>
        <v/>
      </c>
      <c r="X264" s="13" t="str">
        <f aca="false">IF(ISNUMBER(N264),ROUND(N264,0),"")</f>
        <v/>
      </c>
      <c r="Y264" s="10" t="str">
        <f aca="false">IF(AND($A264=$A265,V264=100,V265=100),"full access","")</f>
        <v/>
      </c>
      <c r="Z264" s="10" t="str">
        <f aca="false">IF(AND($A264=$A265,W264=100,W265=100),"full access","")</f>
        <v/>
      </c>
      <c r="AA264" s="10" t="str">
        <f aca="false">IF(AND($A264=$A265,X264=100,X265=100),"full access","")</f>
        <v/>
      </c>
      <c r="AB264" s="14" t="str">
        <f aca="false">IF(AND(ISNUMBER(T264),ISNUMBER(U264)),T264-U264,"")</f>
        <v/>
      </c>
    </row>
    <row r="265" customFormat="false" ht="15" hidden="false" customHeight="false" outlineLevel="0" collapsed="false">
      <c r="A265" s="10" t="s">
        <v>214</v>
      </c>
      <c r="B265" s="10" t="str">
        <f aca="false">IFERROR(INDEX('Region Lookup'!$B$2:$B$233,MATCH(A265,'Region Lookup'!$A$2:$A$233,0)),"Not found")</f>
        <v>Sub-Saharan Africa</v>
      </c>
      <c r="C265" s="10" t="n">
        <v>2020</v>
      </c>
      <c r="D265" s="11" t="n">
        <v>272.8129883</v>
      </c>
      <c r="E265" s="12" t="n">
        <v>45.75099945</v>
      </c>
      <c r="F265" s="12" t="n">
        <v>96.37117971</v>
      </c>
      <c r="G265" s="12" t="n">
        <v>0</v>
      </c>
      <c r="H265" s="12" t="n">
        <v>3.628820295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3" t="str">
        <f aca="false">IF($A265=$A266,$C266-$C265,"")</f>
        <v/>
      </c>
      <c r="S265" s="14" t="str">
        <f aca="false">IF(AND($A265=$A266,ISNUMBER(F265),ISNUMBER(F266)),(F266-F265)/($C266-$C265),"")</f>
        <v/>
      </c>
      <c r="T265" s="14" t="str">
        <f aca="false">IF(AND($A265=$A266,ISNUMBER(J265),ISNUMBER(J266)),(J266-J265)/($C266-$C265),"")</f>
        <v/>
      </c>
      <c r="U265" s="14" t="str">
        <f aca="false">IF(AND($A265=$A266,ISNUMBER(N265),ISNUMBER(N266)),(N266-N265)/($C266-$C265),"")</f>
        <v/>
      </c>
      <c r="V265" s="13" t="n">
        <f aca="false">IF(ISNUMBER(F265),ROUND(F265,0),"")</f>
        <v>96</v>
      </c>
      <c r="W265" s="13" t="str">
        <f aca="false">IF(ISNUMBER(J265),ROUND(J265,0),"")</f>
        <v/>
      </c>
      <c r="X265" s="13" t="str">
        <f aca="false">IF(ISNUMBER(N265),ROUND(N265,0),"")</f>
        <v/>
      </c>
      <c r="Y265" s="10" t="str">
        <f aca="false">IF(AND($A265=$A266,V265=100,V266=100),"full access","")</f>
        <v/>
      </c>
      <c r="Z265" s="10" t="str">
        <f aca="false">IF(AND($A265=$A266,W265=100,W266=100),"full access","")</f>
        <v/>
      </c>
      <c r="AA265" s="10" t="str">
        <f aca="false">IF(AND($A265=$A266,X265=100,X266=100),"full access","")</f>
        <v/>
      </c>
      <c r="AB265" s="14" t="str">
        <f aca="false">IF(AND(ISNUMBER(T265),ISNUMBER(U265)),T265-U265,"")</f>
        <v/>
      </c>
    </row>
    <row r="266" customFormat="false" ht="15" hidden="false" customHeight="false" outlineLevel="0" collapsed="false">
      <c r="A266" s="4" t="s">
        <v>215</v>
      </c>
      <c r="B266" s="4" t="str">
        <f aca="false">IFERROR(INDEX('Region Lookup'!$B$2:$B$233,MATCH(A266,'Region Lookup'!$A$2:$A$233,0)),"Not found")</f>
        <v>Latin America &amp; Caribbean</v>
      </c>
      <c r="C266" s="4" t="n">
        <v>2015</v>
      </c>
      <c r="D266" s="6" t="n">
        <v>121858.25</v>
      </c>
      <c r="E266" s="7" t="n">
        <v>79.28499603</v>
      </c>
      <c r="F266" s="7" t="n">
        <v>98.02544354</v>
      </c>
      <c r="G266" s="7" t="n">
        <v>0</v>
      </c>
      <c r="H266" s="7" t="n">
        <v>1.412360964</v>
      </c>
      <c r="I266" s="7" t="n">
        <v>0.5621954921</v>
      </c>
      <c r="J266" s="7" t="n">
        <v>93.28669403</v>
      </c>
      <c r="K266" s="7" t="n">
        <v>0</v>
      </c>
      <c r="L266" s="7" t="n">
        <v>4.310938852</v>
      </c>
      <c r="M266" s="7" t="n">
        <v>2.402367121</v>
      </c>
      <c r="N266" s="7" t="n">
        <v>99.2635529</v>
      </c>
      <c r="O266" s="7" t="n">
        <v>0</v>
      </c>
      <c r="P266" s="7" t="n">
        <v>0.655038006</v>
      </c>
      <c r="Q266" s="7" t="n">
        <v>0.08140909465</v>
      </c>
      <c r="R266" s="8" t="n">
        <f aca="false">IF($A266=$A267,$C267-$C266,"")</f>
        <v>5</v>
      </c>
      <c r="S266" s="9" t="n">
        <f aca="false">IF(AND($A266=$A267,ISNUMBER(F266),ISNUMBER(F267)),(F267-F266)/($C267-$C266),"")</f>
        <v>0.330824948</v>
      </c>
      <c r="T266" s="9" t="n">
        <f aca="false">IF(AND($A266=$A267,ISNUMBER(J266),ISNUMBER(J267)),(J267-J266)/($C267-$C266),"")</f>
        <v>1.01007498</v>
      </c>
      <c r="U266" s="9" t="n">
        <f aca="false">IF(AND($A266=$A267,ISNUMBER(N266),ISNUMBER(N267)),(N267-N266)/($C267-$C266),"")</f>
        <v>0.147289420000001</v>
      </c>
      <c r="V266" s="8" t="n">
        <f aca="false">IF(ISNUMBER(F266),ROUND(F266,0),"")</f>
        <v>98</v>
      </c>
      <c r="W266" s="8" t="n">
        <f aca="false">IF(ISNUMBER(J266),ROUND(J266,0),"")</f>
        <v>93</v>
      </c>
      <c r="X266" s="8" t="n">
        <f aca="false">IF(ISNUMBER(N266),ROUND(N266,0),"")</f>
        <v>99</v>
      </c>
      <c r="Y266" s="4" t="str">
        <f aca="false">IF(AND($A266=$A267,V266=100,V267=100),"full access","")</f>
        <v/>
      </c>
      <c r="Z266" s="4" t="str">
        <f aca="false">IF(AND($A266=$A267,W266=100,W267=100),"full access","")</f>
        <v/>
      </c>
      <c r="AA266" s="4" t="str">
        <f aca="false">IF(AND($A266=$A267,X266=100,X267=100),"full access","")</f>
        <v/>
      </c>
      <c r="AB266" s="9" t="n">
        <f aca="false">IF(AND(ISNUMBER(T266),ISNUMBER(U266)),T266-U266,"")</f>
        <v>0.862785559999998</v>
      </c>
    </row>
    <row r="267" customFormat="false" ht="15" hidden="false" customHeight="false" outlineLevel="0" collapsed="false">
      <c r="A267" s="4" t="s">
        <v>215</v>
      </c>
      <c r="B267" s="4" t="str">
        <f aca="false">IFERROR(INDEX('Region Lookup'!$B$2:$B$233,MATCH(A267,'Region Lookup'!$A$2:$A$233,0)),"Not found")</f>
        <v>Latin America &amp; Caribbean</v>
      </c>
      <c r="C267" s="4" t="n">
        <v>2020</v>
      </c>
      <c r="D267" s="6" t="n">
        <v>128932.75</v>
      </c>
      <c r="E267" s="7" t="n">
        <v>80.73099518</v>
      </c>
      <c r="F267" s="7" t="n">
        <v>99.67956828</v>
      </c>
      <c r="G267" s="7" t="n">
        <v>0</v>
      </c>
      <c r="H267" s="7" t="n">
        <v>0.3204317169</v>
      </c>
      <c r="I267" s="7" t="n">
        <v>0</v>
      </c>
      <c r="J267" s="7" t="n">
        <v>98.33706893</v>
      </c>
      <c r="K267" s="7" t="n">
        <v>0</v>
      </c>
      <c r="L267" s="7" t="n">
        <v>1.662931067</v>
      </c>
      <c r="M267" s="7" t="n">
        <v>0</v>
      </c>
      <c r="N267" s="7" t="n">
        <v>100</v>
      </c>
      <c r="O267" s="7" t="n">
        <v>0</v>
      </c>
      <c r="P267" s="7" t="n">
        <v>0</v>
      </c>
      <c r="Q267" s="7" t="n">
        <v>0</v>
      </c>
      <c r="R267" s="8" t="str">
        <f aca="false">IF($A267=$A268,$C268-$C267,"")</f>
        <v/>
      </c>
      <c r="S267" s="9" t="str">
        <f aca="false">IF(AND($A267=$A268,ISNUMBER(F267),ISNUMBER(F268)),(F268-F267)/($C268-$C267),"")</f>
        <v/>
      </c>
      <c r="T267" s="9" t="str">
        <f aca="false">IF(AND($A267=$A268,ISNUMBER(J267),ISNUMBER(J268)),(J268-J267)/($C268-$C267),"")</f>
        <v/>
      </c>
      <c r="U267" s="9" t="str">
        <f aca="false">IF(AND($A267=$A268,ISNUMBER(N267),ISNUMBER(N268)),(N268-N267)/($C268-$C267),"")</f>
        <v/>
      </c>
      <c r="V267" s="8" t="n">
        <f aca="false">IF(ISNUMBER(F267),ROUND(F267,0),"")</f>
        <v>100</v>
      </c>
      <c r="W267" s="8" t="n">
        <f aca="false">IF(ISNUMBER(J267),ROUND(J267,0),"")</f>
        <v>98</v>
      </c>
      <c r="X267" s="8" t="n">
        <f aca="false">IF(ISNUMBER(N267),ROUND(N267,0),"")</f>
        <v>100</v>
      </c>
      <c r="Y267" s="4" t="str">
        <f aca="false">IF(AND($A267=$A268,V267=100,V268=100),"full access","")</f>
        <v/>
      </c>
      <c r="Z267" s="4" t="str">
        <f aca="false">IF(AND($A267=$A268,W267=100,W268=100),"full access","")</f>
        <v/>
      </c>
      <c r="AA267" s="4" t="str">
        <f aca="false">IF(AND($A267=$A268,X267=100,X268=100),"full access","")</f>
        <v/>
      </c>
      <c r="AB267" s="9" t="str">
        <f aca="false">IF(AND(ISNUMBER(T267),ISNUMBER(U267)),T267-U267,"")</f>
        <v/>
      </c>
    </row>
    <row r="268" customFormat="false" ht="15" hidden="false" customHeight="false" outlineLevel="0" collapsed="false">
      <c r="A268" s="10" t="s">
        <v>216</v>
      </c>
      <c r="B268" s="10" t="str">
        <f aca="false">IFERROR(INDEX('Region Lookup'!$B$2:$B$233,MATCH(A268,'Region Lookup'!$A$2:$A$233,0)),"Not found")</f>
        <v>East Asia &amp; Pacific</v>
      </c>
      <c r="C268" s="10" t="n">
        <v>2015</v>
      </c>
      <c r="D268" s="11" t="n">
        <v>108.8860016</v>
      </c>
      <c r="E268" s="12" t="n">
        <v>22.45599937</v>
      </c>
      <c r="F268" s="12" t="n">
        <v>88.30815668</v>
      </c>
      <c r="G268" s="12" t="n">
        <v>0</v>
      </c>
      <c r="H268" s="12" t="n">
        <v>11.69184332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3" t="n">
        <f aca="false">IF($A268=$A269,$C269-$C268,"")</f>
        <v>4</v>
      </c>
      <c r="S268" s="14" t="n">
        <f aca="false">IF(AND($A268=$A269,ISNUMBER(F268),ISNUMBER(F269)),(F269-F268)/($C269-$C268),"")</f>
        <v>0</v>
      </c>
      <c r="T268" s="14" t="str">
        <f aca="false">IF(AND($A268=$A269,ISNUMBER(J268),ISNUMBER(J269)),(J269-J268)/($C269-$C268),"")</f>
        <v/>
      </c>
      <c r="U268" s="14" t="str">
        <f aca="false">IF(AND($A268=$A269,ISNUMBER(N268),ISNUMBER(N269)),(N269-N268)/($C269-$C268),"")</f>
        <v/>
      </c>
      <c r="V268" s="13" t="n">
        <f aca="false">IF(ISNUMBER(F268),ROUND(F268,0),"")</f>
        <v>88</v>
      </c>
      <c r="W268" s="13" t="str">
        <f aca="false">IF(ISNUMBER(J268),ROUND(J268,0),"")</f>
        <v/>
      </c>
      <c r="X268" s="13" t="str">
        <f aca="false">IF(ISNUMBER(N268),ROUND(N268,0),"")</f>
        <v/>
      </c>
      <c r="Y268" s="10" t="str">
        <f aca="false">IF(AND($A268=$A269,V268=100,V269=100),"full access","")</f>
        <v/>
      </c>
      <c r="Z268" s="10" t="str">
        <f aca="false">IF(AND($A268=$A269,W268=100,W269=100),"full access","")</f>
        <v/>
      </c>
      <c r="AA268" s="10" t="str">
        <f aca="false">IF(AND($A268=$A269,X268=100,X269=100),"full access","")</f>
        <v/>
      </c>
      <c r="AB268" s="14" t="str">
        <f aca="false">IF(AND(ISNUMBER(T268),ISNUMBER(U268)),T268-U268,"")</f>
        <v/>
      </c>
    </row>
    <row r="269" customFormat="false" ht="15" hidden="false" customHeight="false" outlineLevel="0" collapsed="false">
      <c r="A269" s="10" t="s">
        <v>216</v>
      </c>
      <c r="B269" s="10" t="str">
        <f aca="false">IFERROR(INDEX('Region Lookup'!$B$2:$B$233,MATCH(A269,'Region Lookup'!$A$2:$A$233,0)),"Not found")</f>
        <v>East Asia &amp; Pacific</v>
      </c>
      <c r="C269" s="10" t="n">
        <v>2019</v>
      </c>
      <c r="D269" s="11" t="n">
        <v>113.810997</v>
      </c>
      <c r="E269" s="12" t="n">
        <v>22.81200027</v>
      </c>
      <c r="F269" s="12" t="n">
        <v>88.30815668</v>
      </c>
      <c r="G269" s="12" t="n">
        <v>0</v>
      </c>
      <c r="H269" s="12" t="n">
        <v>11.69184332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3" t="str">
        <f aca="false">IF($A269=$A270,$C270-$C269,"")</f>
        <v/>
      </c>
      <c r="S269" s="14" t="str">
        <f aca="false">IF(AND($A269=$A270,ISNUMBER(F269),ISNUMBER(F270)),(F270-F269)/($C270-$C269),"")</f>
        <v/>
      </c>
      <c r="T269" s="14" t="str">
        <f aca="false">IF(AND($A269=$A270,ISNUMBER(J269),ISNUMBER(J270)),(J270-J269)/($C270-$C269),"")</f>
        <v/>
      </c>
      <c r="U269" s="14" t="str">
        <f aca="false">IF(AND($A269=$A270,ISNUMBER(N269),ISNUMBER(N270)),(N270-N269)/($C270-$C269),"")</f>
        <v/>
      </c>
      <c r="V269" s="13" t="n">
        <f aca="false">IF(ISNUMBER(F269),ROUND(F269,0),"")</f>
        <v>88</v>
      </c>
      <c r="W269" s="13" t="str">
        <f aca="false">IF(ISNUMBER(J269),ROUND(J269,0),"")</f>
        <v/>
      </c>
      <c r="X269" s="13" t="str">
        <f aca="false">IF(ISNUMBER(N269),ROUND(N269,0),"")</f>
        <v/>
      </c>
      <c r="Y269" s="10" t="str">
        <f aca="false">IF(AND($A269=$A270,V269=100,V270=100),"full access","")</f>
        <v/>
      </c>
      <c r="Z269" s="10" t="str">
        <f aca="false">IF(AND($A269=$A270,W269=100,W270=100),"full access","")</f>
        <v/>
      </c>
      <c r="AA269" s="10" t="str">
        <f aca="false">IF(AND($A269=$A270,X269=100,X270=100),"full access","")</f>
        <v/>
      </c>
      <c r="AB269" s="14" t="str">
        <f aca="false">IF(AND(ISNUMBER(T269),ISNUMBER(U269)),T269-U269,"")</f>
        <v/>
      </c>
    </row>
    <row r="270" customFormat="false" ht="15" hidden="false" customHeight="false" outlineLevel="0" collapsed="false">
      <c r="A270" s="4" t="s">
        <v>217</v>
      </c>
      <c r="B270" s="4" t="str">
        <f aca="false">IFERROR(INDEX('Region Lookup'!$B$2:$B$233,MATCH(A270,'Region Lookup'!$A$2:$A$233,0)),"Not found")</f>
        <v>Europe &amp; Central Asia</v>
      </c>
      <c r="C270" s="4" t="n">
        <v>2015</v>
      </c>
      <c r="D270" s="6" t="n">
        <v>37.72299957</v>
      </c>
      <c r="E270" s="7" t="n">
        <v>100</v>
      </c>
      <c r="F270" s="7" t="n">
        <v>100</v>
      </c>
      <c r="G270" s="7" t="n">
        <v>0</v>
      </c>
      <c r="H270" s="7" t="n">
        <v>0</v>
      </c>
      <c r="I270" s="7" t="n">
        <v>0</v>
      </c>
      <c r="J270" s="7"/>
      <c r="K270" s="7"/>
      <c r="L270" s="7"/>
      <c r="M270" s="7"/>
      <c r="N270" s="7" t="n">
        <v>100</v>
      </c>
      <c r="O270" s="7" t="n">
        <v>0</v>
      </c>
      <c r="P270" s="7" t="n">
        <v>0</v>
      </c>
      <c r="Q270" s="7" t="n">
        <v>0</v>
      </c>
      <c r="R270" s="8" t="n">
        <f aca="false">IF($A270=$A271,$C271-$C270,"")</f>
        <v>5</v>
      </c>
      <c r="S270" s="9" t="n">
        <f aca="false">IF(AND($A270=$A271,ISNUMBER(F270),ISNUMBER(F271)),(F271-F270)/($C271-$C270),"")</f>
        <v>0</v>
      </c>
      <c r="T270" s="9" t="str">
        <f aca="false">IF(AND($A270=$A271,ISNUMBER(J270),ISNUMBER(J271)),(J271-J270)/($C271-$C270),"")</f>
        <v/>
      </c>
      <c r="U270" s="9" t="n">
        <f aca="false">IF(AND($A270=$A271,ISNUMBER(N270),ISNUMBER(N271)),(N271-N270)/($C271-$C270),"")</f>
        <v>0</v>
      </c>
      <c r="V270" s="8" t="n">
        <f aca="false">IF(ISNUMBER(F270),ROUND(F270,0),"")</f>
        <v>100</v>
      </c>
      <c r="W270" s="8" t="str">
        <f aca="false">IF(ISNUMBER(J270),ROUND(J270,0),"")</f>
        <v/>
      </c>
      <c r="X270" s="8" t="n">
        <f aca="false">IF(ISNUMBER(N270),ROUND(N270,0),"")</f>
        <v>100</v>
      </c>
      <c r="Y270" s="4" t="str">
        <f aca="false">IF(AND($A270=$A271,V270=100,V271=100),"full access","")</f>
        <v>full access</v>
      </c>
      <c r="Z270" s="4" t="str">
        <f aca="false">IF(AND($A270=$A271,W270=100,W271=100),"full access","")</f>
        <v/>
      </c>
      <c r="AA270" s="4" t="str">
        <f aca="false">IF(AND($A270=$A271,X270=100,X271=100),"full access","")</f>
        <v>full access</v>
      </c>
      <c r="AB270" s="9" t="str">
        <f aca="false">IF(AND(ISNUMBER(T270),ISNUMBER(U270)),T270-U270,"")</f>
        <v/>
      </c>
    </row>
    <row r="271" customFormat="false" ht="15" hidden="false" customHeight="false" outlineLevel="0" collapsed="false">
      <c r="A271" s="4" t="s">
        <v>217</v>
      </c>
      <c r="B271" s="4" t="str">
        <f aca="false">IFERROR(INDEX('Region Lookup'!$B$2:$B$233,MATCH(A271,'Region Lookup'!$A$2:$A$233,0)),"Not found")</f>
        <v>Europe &amp; Central Asia</v>
      </c>
      <c r="C271" s="4" t="n">
        <v>2020</v>
      </c>
      <c r="D271" s="6" t="n">
        <v>39.24399948</v>
      </c>
      <c r="E271" s="7" t="n">
        <v>100</v>
      </c>
      <c r="F271" s="7" t="n">
        <v>100</v>
      </c>
      <c r="G271" s="7" t="n">
        <v>0</v>
      </c>
      <c r="H271" s="7" t="n">
        <v>0</v>
      </c>
      <c r="I271" s="7" t="n">
        <v>0</v>
      </c>
      <c r="J271" s="7"/>
      <c r="K271" s="7"/>
      <c r="L271" s="7"/>
      <c r="M271" s="7"/>
      <c r="N271" s="7" t="n">
        <v>100</v>
      </c>
      <c r="O271" s="7" t="n">
        <v>0</v>
      </c>
      <c r="P271" s="7" t="n">
        <v>0</v>
      </c>
      <c r="Q271" s="7" t="n">
        <v>0</v>
      </c>
      <c r="R271" s="8" t="str">
        <f aca="false">IF($A271=$A272,$C272-$C271,"")</f>
        <v/>
      </c>
      <c r="S271" s="9" t="str">
        <f aca="false">IF(AND($A271=$A272,ISNUMBER(F271),ISNUMBER(F272)),(F272-F271)/($C272-$C271),"")</f>
        <v/>
      </c>
      <c r="T271" s="9" t="str">
        <f aca="false">IF(AND($A271=$A272,ISNUMBER(J271),ISNUMBER(J272)),(J272-J271)/($C272-$C271),"")</f>
        <v/>
      </c>
      <c r="U271" s="9" t="str">
        <f aca="false">IF(AND($A271=$A272,ISNUMBER(N271),ISNUMBER(N272)),(N272-N271)/($C272-$C271),"")</f>
        <v/>
      </c>
      <c r="V271" s="8" t="n">
        <f aca="false">IF(ISNUMBER(F271),ROUND(F271,0),"")</f>
        <v>100</v>
      </c>
      <c r="W271" s="8" t="str">
        <f aca="false">IF(ISNUMBER(J271),ROUND(J271,0),"")</f>
        <v/>
      </c>
      <c r="X271" s="8" t="n">
        <f aca="false">IF(ISNUMBER(N271),ROUND(N271,0),"")</f>
        <v>100</v>
      </c>
      <c r="Y271" s="4" t="str">
        <f aca="false">IF(AND($A271=$A272,V271=100,V272=100),"full access","")</f>
        <v/>
      </c>
      <c r="Z271" s="4" t="str">
        <f aca="false">IF(AND($A271=$A272,W271=100,W272=100),"full access","")</f>
        <v/>
      </c>
      <c r="AA271" s="4" t="str">
        <f aca="false">IF(AND($A271=$A272,X271=100,X272=100),"full access","")</f>
        <v/>
      </c>
      <c r="AB271" s="9" t="str">
        <f aca="false">IF(AND(ISNUMBER(T271),ISNUMBER(U271)),T271-U271,"")</f>
        <v/>
      </c>
    </row>
    <row r="272" customFormat="false" ht="15" hidden="false" customHeight="false" outlineLevel="0" collapsed="false">
      <c r="A272" s="10" t="s">
        <v>218</v>
      </c>
      <c r="B272" s="10" t="str">
        <f aca="false">IFERROR(INDEX('Region Lookup'!$B$2:$B$233,MATCH(A272,'Region Lookup'!$A$2:$A$233,0)),"Not found")</f>
        <v>East Asia &amp; Pacific</v>
      </c>
      <c r="C272" s="10" t="n">
        <v>2015</v>
      </c>
      <c r="D272" s="11" t="n">
        <v>2998.433105</v>
      </c>
      <c r="E272" s="12" t="n">
        <v>68.22999573</v>
      </c>
      <c r="F272" s="12" t="n">
        <v>80.81301209</v>
      </c>
      <c r="G272" s="12" t="n">
        <v>3.905181378</v>
      </c>
      <c r="H272" s="12" t="n">
        <v>7.578644581</v>
      </c>
      <c r="I272" s="12" t="n">
        <v>7.70316195</v>
      </c>
      <c r="J272" s="12" t="n">
        <v>52.09388801</v>
      </c>
      <c r="K272" s="12" t="n">
        <v>5.33358915</v>
      </c>
      <c r="L272" s="12" t="n">
        <v>18.71864336</v>
      </c>
      <c r="M272" s="12" t="n">
        <v>23.85387948</v>
      </c>
      <c r="N272" s="12" t="n">
        <v>94.18552724</v>
      </c>
      <c r="O272" s="12" t="n">
        <v>3.240070405</v>
      </c>
      <c r="P272" s="12" t="n">
        <v>2.391515544</v>
      </c>
      <c r="Q272" s="12" t="n">
        <v>0.1828868106</v>
      </c>
      <c r="R272" s="13" t="n">
        <f aca="false">IF($A272=$A273,$C273-$C272,"")</f>
        <v>5</v>
      </c>
      <c r="S272" s="14" t="n">
        <f aca="false">IF(AND($A272=$A273,ISNUMBER(F272),ISNUMBER(F273)),(F273-F272)/($C273-$C272),"")</f>
        <v>0.936522636000001</v>
      </c>
      <c r="T272" s="14" t="n">
        <f aca="false">IF(AND($A272=$A273,ISNUMBER(J272),ISNUMBER(J273)),(J273-J272)/($C273-$C272),"")</f>
        <v>1.795372626</v>
      </c>
      <c r="U272" s="14" t="n">
        <f aca="false">IF(AND($A272=$A273,ISNUMBER(N272),ISNUMBER(N273)),(N273-N272)/($C273-$C272),"")</f>
        <v>0.492087667999999</v>
      </c>
      <c r="V272" s="13" t="n">
        <f aca="false">IF(ISNUMBER(F272),ROUND(F272,0),"")</f>
        <v>81</v>
      </c>
      <c r="W272" s="13" t="n">
        <f aca="false">IF(ISNUMBER(J272),ROUND(J272,0),"")</f>
        <v>52</v>
      </c>
      <c r="X272" s="13" t="n">
        <f aca="false">IF(ISNUMBER(N272),ROUND(N272,0),"")</f>
        <v>94</v>
      </c>
      <c r="Y272" s="10" t="str">
        <f aca="false">IF(AND($A272=$A273,V272=100,V273=100),"full access","")</f>
        <v/>
      </c>
      <c r="Z272" s="10" t="str">
        <f aca="false">IF(AND($A272=$A273,W272=100,W273=100),"full access","")</f>
        <v/>
      </c>
      <c r="AA272" s="10" t="str">
        <f aca="false">IF(AND($A272=$A273,X272=100,X273=100),"full access","")</f>
        <v/>
      </c>
      <c r="AB272" s="14" t="n">
        <f aca="false">IF(AND(ISNUMBER(T272),ISNUMBER(U272)),T272-U272,"")</f>
        <v>1.303284958</v>
      </c>
    </row>
    <row r="273" customFormat="false" ht="15" hidden="false" customHeight="false" outlineLevel="0" collapsed="false">
      <c r="A273" s="10" t="s">
        <v>218</v>
      </c>
      <c r="B273" s="10" t="str">
        <f aca="false">IFERROR(INDEX('Region Lookup'!$B$2:$B$233,MATCH(A273,'Region Lookup'!$A$2:$A$233,0)),"Not found")</f>
        <v>East Asia &amp; Pacific</v>
      </c>
      <c r="C273" s="10" t="n">
        <v>2020</v>
      </c>
      <c r="D273" s="11" t="n">
        <v>3278.291992</v>
      </c>
      <c r="E273" s="12" t="n">
        <v>68.65699768</v>
      </c>
      <c r="F273" s="12" t="n">
        <v>85.49562527</v>
      </c>
      <c r="G273" s="12" t="n">
        <v>2.14642893</v>
      </c>
      <c r="H273" s="12" t="n">
        <v>6.633366714</v>
      </c>
      <c r="I273" s="12" t="n">
        <v>5.724579081</v>
      </c>
      <c r="J273" s="12" t="n">
        <v>61.07075114</v>
      </c>
      <c r="K273" s="12" t="n">
        <v>3.084170572</v>
      </c>
      <c r="L273" s="12" t="n">
        <v>17.58078116</v>
      </c>
      <c r="M273" s="12" t="n">
        <v>18.26429713</v>
      </c>
      <c r="N273" s="12" t="n">
        <v>96.64596558</v>
      </c>
      <c r="O273" s="12" t="n">
        <v>1.718335079</v>
      </c>
      <c r="P273" s="12" t="n">
        <v>1.635699341</v>
      </c>
      <c r="Q273" s="12" t="n">
        <v>0</v>
      </c>
      <c r="R273" s="13" t="str">
        <f aca="false">IF($A273=$A274,$C274-$C273,"")</f>
        <v/>
      </c>
      <c r="S273" s="14" t="str">
        <f aca="false">IF(AND($A273=$A274,ISNUMBER(F273),ISNUMBER(F274)),(F274-F273)/($C274-$C273),"")</f>
        <v/>
      </c>
      <c r="T273" s="14" t="str">
        <f aca="false">IF(AND($A273=$A274,ISNUMBER(J273),ISNUMBER(J274)),(J274-J273)/($C274-$C273),"")</f>
        <v/>
      </c>
      <c r="U273" s="14" t="str">
        <f aca="false">IF(AND($A273=$A274,ISNUMBER(N273),ISNUMBER(N274)),(N274-N273)/($C274-$C273),"")</f>
        <v/>
      </c>
      <c r="V273" s="13" t="n">
        <f aca="false">IF(ISNUMBER(F273),ROUND(F273,0),"")</f>
        <v>85</v>
      </c>
      <c r="W273" s="13" t="n">
        <f aca="false">IF(ISNUMBER(J273),ROUND(J273,0),"")</f>
        <v>61</v>
      </c>
      <c r="X273" s="13" t="n">
        <f aca="false">IF(ISNUMBER(N273),ROUND(N273,0),"")</f>
        <v>97</v>
      </c>
      <c r="Y273" s="10" t="str">
        <f aca="false">IF(AND($A273=$A274,V273=100,V274=100),"full access","")</f>
        <v/>
      </c>
      <c r="Z273" s="10" t="str">
        <f aca="false">IF(AND($A273=$A274,W273=100,W274=100),"full access","")</f>
        <v/>
      </c>
      <c r="AA273" s="10" t="str">
        <f aca="false">IF(AND($A273=$A274,X273=100,X274=100),"full access","")</f>
        <v/>
      </c>
      <c r="AB273" s="14" t="str">
        <f aca="false">IF(AND(ISNUMBER(T273),ISNUMBER(U273)),T273-U273,"")</f>
        <v/>
      </c>
    </row>
    <row r="274" customFormat="false" ht="15" hidden="false" customHeight="false" outlineLevel="0" collapsed="false">
      <c r="A274" s="4" t="s">
        <v>219</v>
      </c>
      <c r="B274" s="4" t="str">
        <f aca="false">IFERROR(INDEX('Region Lookup'!$B$2:$B$233,MATCH(A274,'Region Lookup'!$A$2:$A$233,0)),"Not found")</f>
        <v>Europe &amp; Central Asia</v>
      </c>
      <c r="C274" s="4" t="n">
        <v>2015</v>
      </c>
      <c r="D274" s="6" t="n">
        <v>626.9569702</v>
      </c>
      <c r="E274" s="7" t="n">
        <v>65.80599976</v>
      </c>
      <c r="F274" s="7" t="n">
        <v>97.39129537</v>
      </c>
      <c r="G274" s="7" t="n">
        <v>1.68690191</v>
      </c>
      <c r="H274" s="7" t="n">
        <v>0.8814458462</v>
      </c>
      <c r="I274" s="7" t="n">
        <v>0.04035686954</v>
      </c>
      <c r="J274" s="7" t="n">
        <v>95.96066218</v>
      </c>
      <c r="K274" s="7" t="n">
        <v>1.539303155</v>
      </c>
      <c r="L274" s="7" t="n">
        <v>2.38201141</v>
      </c>
      <c r="M274" s="7" t="n">
        <v>0.1180232558</v>
      </c>
      <c r="N274" s="7" t="n">
        <v>98.13467845</v>
      </c>
      <c r="O274" s="7" t="n">
        <v>1.763596913</v>
      </c>
      <c r="P274" s="7" t="n">
        <v>0.101724636</v>
      </c>
      <c r="Q274" s="7" t="n">
        <v>0</v>
      </c>
      <c r="R274" s="8" t="n">
        <f aca="false">IF($A274=$A275,$C275-$C274,"")</f>
        <v>5</v>
      </c>
      <c r="S274" s="9" t="n">
        <f aca="false">IF(AND($A274=$A275,ISNUMBER(F274),ISNUMBER(F275)),(F275-F274)/($C275-$C274),"")</f>
        <v>0.293124230000001</v>
      </c>
      <c r="T274" s="9" t="n">
        <f aca="false">IF(AND($A274=$A275,ISNUMBER(J274),ISNUMBER(J275)),(J275-J274)/($C275-$C274),"")</f>
        <v>0.440245071999999</v>
      </c>
      <c r="U274" s="9" t="n">
        <f aca="false">IF(AND($A274=$A275,ISNUMBER(N274),ISNUMBER(N275)),(N275-N274)/($C275-$C274),"")</f>
        <v>0.211412228</v>
      </c>
      <c r="V274" s="8" t="n">
        <f aca="false">IF(ISNUMBER(F274),ROUND(F274,0),"")</f>
        <v>97</v>
      </c>
      <c r="W274" s="8" t="n">
        <f aca="false">IF(ISNUMBER(J274),ROUND(J274,0),"")</f>
        <v>96</v>
      </c>
      <c r="X274" s="8" t="n">
        <f aca="false">IF(ISNUMBER(N274),ROUND(N274,0),"")</f>
        <v>98</v>
      </c>
      <c r="Y274" s="4" t="str">
        <f aca="false">IF(AND($A274=$A275,V274=100,V275=100),"full access","")</f>
        <v/>
      </c>
      <c r="Z274" s="4" t="str">
        <f aca="false">IF(AND($A274=$A275,W274=100,W275=100),"full access","")</f>
        <v/>
      </c>
      <c r="AA274" s="4" t="str">
        <f aca="false">IF(AND($A274=$A275,X274=100,X275=100),"full access","")</f>
        <v/>
      </c>
      <c r="AB274" s="9" t="n">
        <f aca="false">IF(AND(ISNUMBER(T274),ISNUMBER(U274)),T274-U274,"")</f>
        <v>0.228832843999999</v>
      </c>
    </row>
    <row r="275" customFormat="false" ht="15" hidden="false" customHeight="false" outlineLevel="0" collapsed="false">
      <c r="A275" s="4" t="s">
        <v>219</v>
      </c>
      <c r="B275" s="4" t="str">
        <f aca="false">IFERROR(INDEX('Region Lookup'!$B$2:$B$233,MATCH(A275,'Region Lookup'!$A$2:$A$233,0)),"Not found")</f>
        <v>Europe &amp; Central Asia</v>
      </c>
      <c r="C275" s="4" t="n">
        <v>2020</v>
      </c>
      <c r="D275" s="6" t="n">
        <v>628.0620117</v>
      </c>
      <c r="E275" s="7" t="n">
        <v>67.48800659</v>
      </c>
      <c r="F275" s="7" t="n">
        <v>98.85691652</v>
      </c>
      <c r="G275" s="7" t="n">
        <v>0.5454788204</v>
      </c>
      <c r="H275" s="7" t="n">
        <v>0.592312011</v>
      </c>
      <c r="I275" s="7" t="n">
        <v>0.005292650894</v>
      </c>
      <c r="J275" s="7" t="n">
        <v>98.16188754</v>
      </c>
      <c r="K275" s="7" t="n">
        <v>0</v>
      </c>
      <c r="L275" s="7" t="n">
        <v>1.821833386</v>
      </c>
      <c r="M275" s="7" t="n">
        <v>0.01627906977</v>
      </c>
      <c r="N275" s="7" t="n">
        <v>99.19173959</v>
      </c>
      <c r="O275" s="7" t="n">
        <v>0.8082604128</v>
      </c>
      <c r="P275" s="7" t="n">
        <v>0</v>
      </c>
      <c r="Q275" s="7" t="n">
        <v>0</v>
      </c>
      <c r="R275" s="8" t="str">
        <f aca="false">IF($A275=$A276,$C276-$C275,"")</f>
        <v/>
      </c>
      <c r="S275" s="9" t="str">
        <f aca="false">IF(AND($A275=$A276,ISNUMBER(F275),ISNUMBER(F276)),(F276-F275)/($C276-$C275),"")</f>
        <v/>
      </c>
      <c r="T275" s="9" t="str">
        <f aca="false">IF(AND($A275=$A276,ISNUMBER(J275),ISNUMBER(J276)),(J276-J275)/($C276-$C275),"")</f>
        <v/>
      </c>
      <c r="U275" s="9" t="str">
        <f aca="false">IF(AND($A275=$A276,ISNUMBER(N275),ISNUMBER(N276)),(N276-N275)/($C276-$C275),"")</f>
        <v/>
      </c>
      <c r="V275" s="8" t="n">
        <f aca="false">IF(ISNUMBER(F275),ROUND(F275,0),"")</f>
        <v>99</v>
      </c>
      <c r="W275" s="8" t="n">
        <f aca="false">IF(ISNUMBER(J275),ROUND(J275,0),"")</f>
        <v>98</v>
      </c>
      <c r="X275" s="8" t="n">
        <f aca="false">IF(ISNUMBER(N275),ROUND(N275,0),"")</f>
        <v>99</v>
      </c>
      <c r="Y275" s="4" t="str">
        <f aca="false">IF(AND($A275=$A276,V275=100,V276=100),"full access","")</f>
        <v/>
      </c>
      <c r="Z275" s="4" t="str">
        <f aca="false">IF(AND($A275=$A276,W275=100,W276=100),"full access","")</f>
        <v/>
      </c>
      <c r="AA275" s="4" t="str">
        <f aca="false">IF(AND($A275=$A276,X275=100,X276=100),"full access","")</f>
        <v/>
      </c>
      <c r="AB275" s="9" t="str">
        <f aca="false">IF(AND(ISNUMBER(T275),ISNUMBER(U275)),T275-U275,"")</f>
        <v/>
      </c>
    </row>
    <row r="276" customFormat="false" ht="15" hidden="false" customHeight="false" outlineLevel="0" collapsed="false">
      <c r="A276" s="10" t="s">
        <v>220</v>
      </c>
      <c r="B276" s="10" t="str">
        <f aca="false">IFERROR(INDEX('Region Lookup'!$B$2:$B$233,MATCH(A276,'Region Lookup'!$A$2:$A$233,0)),"Not found")</f>
        <v>Latin America &amp; Caribbean</v>
      </c>
      <c r="C276" s="10" t="n">
        <v>2015</v>
      </c>
      <c r="D276" s="11" t="n">
        <v>4.96600008</v>
      </c>
      <c r="E276" s="12" t="n">
        <v>9.041000366</v>
      </c>
      <c r="F276" s="12" t="n">
        <v>98.07082056</v>
      </c>
      <c r="G276" s="12" t="n">
        <v>0</v>
      </c>
      <c r="H276" s="12" t="n">
        <v>1.929179439</v>
      </c>
      <c r="I276" s="12" t="n">
        <v>0</v>
      </c>
      <c r="J276" s="12"/>
      <c r="K276" s="12"/>
      <c r="L276" s="12"/>
      <c r="M276" s="12"/>
      <c r="N276" s="12"/>
      <c r="O276" s="12"/>
      <c r="P276" s="12"/>
      <c r="Q276" s="12"/>
      <c r="R276" s="13" t="n">
        <f aca="false">IF($A276=$A277,$C277-$C276,"")</f>
        <v>5</v>
      </c>
      <c r="S276" s="14" t="n">
        <f aca="false">IF(AND($A276=$A277,ISNUMBER(F276),ISNUMBER(F277)),(F277-F276)/($C277-$C276),"")</f>
        <v>0.00133241199999929</v>
      </c>
      <c r="T276" s="14" t="str">
        <f aca="false">IF(AND($A276=$A277,ISNUMBER(J276),ISNUMBER(J277)),(J277-J276)/($C277-$C276),"")</f>
        <v/>
      </c>
      <c r="U276" s="14" t="str">
        <f aca="false">IF(AND($A276=$A277,ISNUMBER(N276),ISNUMBER(N277)),(N277-N276)/($C277-$C276),"")</f>
        <v/>
      </c>
      <c r="V276" s="13" t="n">
        <f aca="false">IF(ISNUMBER(F276),ROUND(F276,0),"")</f>
        <v>98</v>
      </c>
      <c r="W276" s="13" t="str">
        <f aca="false">IF(ISNUMBER(J276),ROUND(J276,0),"")</f>
        <v/>
      </c>
      <c r="X276" s="13" t="str">
        <f aca="false">IF(ISNUMBER(N276),ROUND(N276,0),"")</f>
        <v/>
      </c>
      <c r="Y276" s="10" t="str">
        <f aca="false">IF(AND($A276=$A277,V276=100,V277=100),"full access","")</f>
        <v/>
      </c>
      <c r="Z276" s="10" t="str">
        <f aca="false">IF(AND($A276=$A277,W276=100,W277=100),"full access","")</f>
        <v/>
      </c>
      <c r="AA276" s="10" t="str">
        <f aca="false">IF(AND($A276=$A277,X276=100,X277=100),"full access","")</f>
        <v/>
      </c>
      <c r="AB276" s="14" t="str">
        <f aca="false">IF(AND(ISNUMBER(T276),ISNUMBER(U276)),T276-U276,"")</f>
        <v/>
      </c>
    </row>
    <row r="277" customFormat="false" ht="15" hidden="false" customHeight="false" outlineLevel="0" collapsed="false">
      <c r="A277" s="10" t="s">
        <v>220</v>
      </c>
      <c r="B277" s="10" t="str">
        <f aca="false">IFERROR(INDEX('Region Lookup'!$B$2:$B$233,MATCH(A277,'Region Lookup'!$A$2:$A$233,0)),"Not found")</f>
        <v>Latin America &amp; Caribbean</v>
      </c>
      <c r="C277" s="10" t="n">
        <v>2020</v>
      </c>
      <c r="D277" s="11" t="n">
        <v>4.999000072</v>
      </c>
      <c r="E277" s="12" t="n">
        <v>9.114999771</v>
      </c>
      <c r="F277" s="12" t="n">
        <v>98.07748262</v>
      </c>
      <c r="G277" s="12" t="n">
        <v>0</v>
      </c>
      <c r="H277" s="12" t="n">
        <v>1.922517378</v>
      </c>
      <c r="I277" s="12" t="n">
        <v>0</v>
      </c>
      <c r="J277" s="12"/>
      <c r="K277" s="12"/>
      <c r="L277" s="12"/>
      <c r="M277" s="12"/>
      <c r="N277" s="12"/>
      <c r="O277" s="12"/>
      <c r="P277" s="12"/>
      <c r="Q277" s="12"/>
      <c r="R277" s="13" t="str">
        <f aca="false">IF($A277=$A278,$C278-$C277,"")</f>
        <v/>
      </c>
      <c r="S277" s="14" t="str">
        <f aca="false">IF(AND($A277=$A278,ISNUMBER(F277),ISNUMBER(F278)),(F278-F277)/($C278-$C277),"")</f>
        <v/>
      </c>
      <c r="T277" s="14" t="str">
        <f aca="false">IF(AND($A277=$A278,ISNUMBER(J277),ISNUMBER(J278)),(J278-J277)/($C278-$C277),"")</f>
        <v/>
      </c>
      <c r="U277" s="14" t="str">
        <f aca="false">IF(AND($A277=$A278,ISNUMBER(N277),ISNUMBER(N278)),(N278-N277)/($C278-$C277),"")</f>
        <v/>
      </c>
      <c r="V277" s="13" t="n">
        <f aca="false">IF(ISNUMBER(F277),ROUND(F277,0),"")</f>
        <v>98</v>
      </c>
      <c r="W277" s="13" t="str">
        <f aca="false">IF(ISNUMBER(J277),ROUND(J277,0),"")</f>
        <v/>
      </c>
      <c r="X277" s="13" t="str">
        <f aca="false">IF(ISNUMBER(N277),ROUND(N277,0),"")</f>
        <v/>
      </c>
      <c r="Y277" s="10" t="str">
        <f aca="false">IF(AND($A277=$A278,V277=100,V278=100),"full access","")</f>
        <v/>
      </c>
      <c r="Z277" s="10" t="str">
        <f aca="false">IF(AND($A277=$A278,W277=100,W278=100),"full access","")</f>
        <v/>
      </c>
      <c r="AA277" s="10" t="str">
        <f aca="false">IF(AND($A277=$A278,X277=100,X278=100),"full access","")</f>
        <v/>
      </c>
      <c r="AB277" s="14" t="str">
        <f aca="false">IF(AND(ISNUMBER(T277),ISNUMBER(U277)),T277-U277,"")</f>
        <v/>
      </c>
    </row>
    <row r="278" customFormat="false" ht="15" hidden="false" customHeight="false" outlineLevel="0" collapsed="false">
      <c r="A278" s="4" t="s">
        <v>221</v>
      </c>
      <c r="B278" s="4" t="str">
        <f aca="false">IFERROR(INDEX('Region Lookup'!$B$2:$B$233,MATCH(A278,'Region Lookup'!$A$2:$A$233,0)),"Not found")</f>
        <v>Middle East &amp; North Africa</v>
      </c>
      <c r="C278" s="4" t="n">
        <v>2015</v>
      </c>
      <c r="D278" s="6" t="n">
        <v>34663.60938</v>
      </c>
      <c r="E278" s="7" t="n">
        <v>60.80899811</v>
      </c>
      <c r="F278" s="7" t="n">
        <v>83.75113288</v>
      </c>
      <c r="G278" s="7" t="n">
        <v>5.937188415</v>
      </c>
      <c r="H278" s="7" t="n">
        <v>8.517881858</v>
      </c>
      <c r="I278" s="7" t="n">
        <v>1.793796851</v>
      </c>
      <c r="J278" s="7" t="n">
        <v>64.17252874</v>
      </c>
      <c r="K278" s="7" t="n">
        <v>12.25581871</v>
      </c>
      <c r="L278" s="7" t="n">
        <v>19.02957964</v>
      </c>
      <c r="M278" s="7" t="n">
        <v>4.542072914</v>
      </c>
      <c r="N278" s="7" t="n">
        <v>96.36941502</v>
      </c>
      <c r="O278" s="7" t="n">
        <v>1.864872571</v>
      </c>
      <c r="P278" s="7" t="n">
        <v>1.743161481</v>
      </c>
      <c r="Q278" s="7" t="n">
        <v>0.02255092798</v>
      </c>
      <c r="R278" s="8" t="n">
        <f aca="false">IF($A278=$A279,$C279-$C278,"")</f>
        <v>5</v>
      </c>
      <c r="S278" s="9" t="n">
        <f aca="false">IF(AND($A278=$A279,ISNUMBER(F278),ISNUMBER(F279)),(F279-F278)/($C279-$C278),"")</f>
        <v>1.33024236</v>
      </c>
      <c r="T278" s="9" t="n">
        <f aca="false">IF(AND($A278=$A279,ISNUMBER(J278),ISNUMBER(J279)),(J279-J278)/($C279-$C278),"")</f>
        <v>2.634720044</v>
      </c>
      <c r="U278" s="9" t="n">
        <f aca="false">IF(AND($A278=$A279,ISNUMBER(N278),ISNUMBER(N279)),(N279-N278)/($C279-$C278),"")</f>
        <v>0.305466197999999</v>
      </c>
      <c r="V278" s="8" t="n">
        <f aca="false">IF(ISNUMBER(F278),ROUND(F278,0),"")</f>
        <v>84</v>
      </c>
      <c r="W278" s="8" t="n">
        <f aca="false">IF(ISNUMBER(J278),ROUND(J278,0),"")</f>
        <v>64</v>
      </c>
      <c r="X278" s="8" t="n">
        <f aca="false">IF(ISNUMBER(N278),ROUND(N278,0),"")</f>
        <v>96</v>
      </c>
      <c r="Y278" s="4" t="str">
        <f aca="false">IF(AND($A278=$A279,V278=100,V279=100),"full access","")</f>
        <v/>
      </c>
      <c r="Z278" s="4" t="str">
        <f aca="false">IF(AND($A278=$A279,W278=100,W279=100),"full access","")</f>
        <v/>
      </c>
      <c r="AA278" s="4" t="str">
        <f aca="false">IF(AND($A278=$A279,X278=100,X279=100),"full access","")</f>
        <v/>
      </c>
      <c r="AB278" s="9" t="n">
        <f aca="false">IF(AND(ISNUMBER(T278),ISNUMBER(U278)),T278-U278,"")</f>
        <v>2.329253846</v>
      </c>
    </row>
    <row r="279" customFormat="false" ht="15" hidden="false" customHeight="false" outlineLevel="0" collapsed="false">
      <c r="A279" s="4" t="s">
        <v>221</v>
      </c>
      <c r="B279" s="4" t="str">
        <f aca="false">IFERROR(INDEX('Region Lookup'!$B$2:$B$233,MATCH(A279,'Region Lookup'!$A$2:$A$233,0)),"Not found")</f>
        <v>Middle East &amp; North Africa</v>
      </c>
      <c r="C279" s="4" t="n">
        <v>2020</v>
      </c>
      <c r="D279" s="6" t="n">
        <v>36910.55859</v>
      </c>
      <c r="E279" s="7" t="n">
        <v>63.53199768</v>
      </c>
      <c r="F279" s="7" t="n">
        <v>90.40234468</v>
      </c>
      <c r="G279" s="7" t="n">
        <v>5.263549601</v>
      </c>
      <c r="H279" s="7" t="n">
        <v>2.8776725</v>
      </c>
      <c r="I279" s="7" t="n">
        <v>1.456433219</v>
      </c>
      <c r="J279" s="7" t="n">
        <v>77.34612896</v>
      </c>
      <c r="K279" s="7" t="n">
        <v>12.03707816</v>
      </c>
      <c r="L279" s="7" t="n">
        <v>6.623063373</v>
      </c>
      <c r="M279" s="7" t="n">
        <v>3.993729502</v>
      </c>
      <c r="N279" s="7" t="n">
        <v>97.89674601</v>
      </c>
      <c r="O279" s="7" t="n">
        <v>1.375477117</v>
      </c>
      <c r="P279" s="7" t="n">
        <v>0.7277768759</v>
      </c>
      <c r="Q279" s="7" t="n">
        <v>0</v>
      </c>
      <c r="R279" s="8" t="str">
        <f aca="false">IF($A279=$A280,$C280-$C279,"")</f>
        <v/>
      </c>
      <c r="S279" s="9" t="str">
        <f aca="false">IF(AND($A279=$A280,ISNUMBER(F279),ISNUMBER(F280)),(F280-F279)/($C280-$C279),"")</f>
        <v/>
      </c>
      <c r="T279" s="9" t="str">
        <f aca="false">IF(AND($A279=$A280,ISNUMBER(J279),ISNUMBER(J280)),(J280-J279)/($C280-$C279),"")</f>
        <v/>
      </c>
      <c r="U279" s="9" t="str">
        <f aca="false">IF(AND($A279=$A280,ISNUMBER(N279),ISNUMBER(N280)),(N280-N279)/($C280-$C279),"")</f>
        <v/>
      </c>
      <c r="V279" s="8" t="n">
        <f aca="false">IF(ISNUMBER(F279),ROUND(F279,0),"")</f>
        <v>90</v>
      </c>
      <c r="W279" s="8" t="n">
        <f aca="false">IF(ISNUMBER(J279),ROUND(J279,0),"")</f>
        <v>77</v>
      </c>
      <c r="X279" s="8" t="n">
        <f aca="false">IF(ISNUMBER(N279),ROUND(N279,0),"")</f>
        <v>98</v>
      </c>
      <c r="Y279" s="4" t="str">
        <f aca="false">IF(AND($A279=$A280,V279=100,V280=100),"full access","")</f>
        <v/>
      </c>
      <c r="Z279" s="4" t="str">
        <f aca="false">IF(AND($A279=$A280,W279=100,W280=100),"full access","")</f>
        <v/>
      </c>
      <c r="AA279" s="4" t="str">
        <f aca="false">IF(AND($A279=$A280,X279=100,X280=100),"full access","")</f>
        <v/>
      </c>
      <c r="AB279" s="9" t="str">
        <f aca="false">IF(AND(ISNUMBER(T279),ISNUMBER(U279)),T279-U279,"")</f>
        <v/>
      </c>
    </row>
    <row r="280" customFormat="false" ht="15" hidden="false" customHeight="false" outlineLevel="0" collapsed="false">
      <c r="A280" s="10" t="s">
        <v>222</v>
      </c>
      <c r="B280" s="10" t="str">
        <f aca="false">IFERROR(INDEX('Region Lookup'!$B$2:$B$233,MATCH(A280,'Region Lookup'!$A$2:$A$233,0)),"Not found")</f>
        <v>Sub-Saharan Africa</v>
      </c>
      <c r="C280" s="10" t="n">
        <v>2015</v>
      </c>
      <c r="D280" s="11" t="n">
        <v>27042.00195</v>
      </c>
      <c r="E280" s="12" t="n">
        <v>34.40000153</v>
      </c>
      <c r="F280" s="12" t="n">
        <v>51.17617521</v>
      </c>
      <c r="G280" s="12" t="n">
        <v>10.3714084</v>
      </c>
      <c r="H280" s="12" t="n">
        <v>26.51349315</v>
      </c>
      <c r="I280" s="12" t="n">
        <v>11.93892324</v>
      </c>
      <c r="J280" s="12" t="n">
        <v>35.97137876</v>
      </c>
      <c r="K280" s="12" t="n">
        <v>12.36707992</v>
      </c>
      <c r="L280" s="12" t="n">
        <v>34.81487395</v>
      </c>
      <c r="M280" s="12" t="n">
        <v>16.84666736</v>
      </c>
      <c r="N280" s="12" t="n">
        <v>80.17136583</v>
      </c>
      <c r="O280" s="12" t="n">
        <v>6.565709571</v>
      </c>
      <c r="P280" s="12" t="n">
        <v>10.68295442</v>
      </c>
      <c r="Q280" s="12" t="n">
        <v>2.579970181</v>
      </c>
      <c r="R280" s="13" t="n">
        <f aca="false">IF($A280=$A281,$C281-$C280,"")</f>
        <v>5</v>
      </c>
      <c r="S280" s="14" t="n">
        <f aca="false">IF(AND($A280=$A281,ISNUMBER(F280),ISNUMBER(F281)),(F281-F280)/($C281-$C280),"")</f>
        <v>2.438650084</v>
      </c>
      <c r="T280" s="14" t="n">
        <f aca="false">IF(AND($A280=$A281,ISNUMBER(J280),ISNUMBER(J281)),(J281-J280)/($C281-$C280),"")</f>
        <v>2.579061548</v>
      </c>
      <c r="U280" s="14" t="n">
        <f aca="false">IF(AND($A280=$A281,ISNUMBER(N280),ISNUMBER(N281)),(N281-N280)/($C281-$C280),"")</f>
        <v>1.562736418</v>
      </c>
      <c r="V280" s="13" t="n">
        <f aca="false">IF(ISNUMBER(F280),ROUND(F280,0),"")</f>
        <v>51</v>
      </c>
      <c r="W280" s="13" t="n">
        <f aca="false">IF(ISNUMBER(J280),ROUND(J280,0),"")</f>
        <v>36</v>
      </c>
      <c r="X280" s="13" t="n">
        <f aca="false">IF(ISNUMBER(N280),ROUND(N280,0),"")</f>
        <v>80</v>
      </c>
      <c r="Y280" s="10" t="str">
        <f aca="false">IF(AND($A280=$A281,V280=100,V281=100),"full access","")</f>
        <v/>
      </c>
      <c r="Z280" s="10" t="str">
        <f aca="false">IF(AND($A280=$A281,W280=100,W281=100),"full access","")</f>
        <v/>
      </c>
      <c r="AA280" s="10" t="str">
        <f aca="false">IF(AND($A280=$A281,X280=100,X281=100),"full access","")</f>
        <v/>
      </c>
      <c r="AB280" s="14" t="n">
        <f aca="false">IF(AND(ISNUMBER(T280),ISNUMBER(U280)),T280-U280,"")</f>
        <v>1.01632513</v>
      </c>
    </row>
    <row r="281" customFormat="false" ht="15" hidden="false" customHeight="false" outlineLevel="0" collapsed="false">
      <c r="A281" s="10" t="s">
        <v>222</v>
      </c>
      <c r="B281" s="10" t="str">
        <f aca="false">IFERROR(INDEX('Region Lookup'!$B$2:$B$233,MATCH(A281,'Region Lookup'!$A$2:$A$233,0)),"Not found")</f>
        <v>Sub-Saharan Africa</v>
      </c>
      <c r="C281" s="10" t="n">
        <v>2020</v>
      </c>
      <c r="D281" s="11" t="n">
        <v>31255.43555</v>
      </c>
      <c r="E281" s="12" t="n">
        <v>37.0739975</v>
      </c>
      <c r="F281" s="12" t="n">
        <v>63.36942563</v>
      </c>
      <c r="G281" s="12" t="n">
        <v>9.975784507</v>
      </c>
      <c r="H281" s="12" t="n">
        <v>16.72614511</v>
      </c>
      <c r="I281" s="12" t="n">
        <v>9.928644759</v>
      </c>
      <c r="J281" s="12" t="n">
        <v>48.8666865</v>
      </c>
      <c r="K281" s="12" t="n">
        <v>12.64088359</v>
      </c>
      <c r="L281" s="12" t="n">
        <v>23.6862564</v>
      </c>
      <c r="M281" s="12" t="n">
        <v>14.80617352</v>
      </c>
      <c r="N281" s="12" t="n">
        <v>87.98504792</v>
      </c>
      <c r="O281" s="12" t="n">
        <v>5.452291027</v>
      </c>
      <c r="P281" s="12" t="n">
        <v>4.912684644</v>
      </c>
      <c r="Q281" s="12" t="n">
        <v>1.649976404</v>
      </c>
      <c r="R281" s="13" t="str">
        <f aca="false">IF($A281=$A282,$C282-$C281,"")</f>
        <v/>
      </c>
      <c r="S281" s="14" t="str">
        <f aca="false">IF(AND($A281=$A282,ISNUMBER(F281),ISNUMBER(F282)),(F282-F281)/($C282-$C281),"")</f>
        <v/>
      </c>
      <c r="T281" s="14" t="str">
        <f aca="false">IF(AND($A281=$A282,ISNUMBER(J281),ISNUMBER(J282)),(J282-J281)/($C282-$C281),"")</f>
        <v/>
      </c>
      <c r="U281" s="14" t="str">
        <f aca="false">IF(AND($A281=$A282,ISNUMBER(N281),ISNUMBER(N282)),(N282-N281)/($C282-$C281),"")</f>
        <v/>
      </c>
      <c r="V281" s="13" t="n">
        <f aca="false">IF(ISNUMBER(F281),ROUND(F281,0),"")</f>
        <v>63</v>
      </c>
      <c r="W281" s="13" t="n">
        <f aca="false">IF(ISNUMBER(J281),ROUND(J281,0),"")</f>
        <v>49</v>
      </c>
      <c r="X281" s="13" t="n">
        <f aca="false">IF(ISNUMBER(N281),ROUND(N281,0),"")</f>
        <v>88</v>
      </c>
      <c r="Y281" s="10" t="str">
        <f aca="false">IF(AND($A281=$A282,V281=100,V282=100),"full access","")</f>
        <v/>
      </c>
      <c r="Z281" s="10" t="str">
        <f aca="false">IF(AND($A281=$A282,W281=100,W282=100),"full access","")</f>
        <v/>
      </c>
      <c r="AA281" s="10" t="str">
        <f aca="false">IF(AND($A281=$A282,X281=100,X282=100),"full access","")</f>
        <v/>
      </c>
      <c r="AB281" s="14" t="str">
        <f aca="false">IF(AND(ISNUMBER(T281),ISNUMBER(U281)),T281-U281,"")</f>
        <v/>
      </c>
    </row>
    <row r="282" customFormat="false" ht="15" hidden="false" customHeight="false" outlineLevel="0" collapsed="false">
      <c r="A282" s="4" t="s">
        <v>223</v>
      </c>
      <c r="B282" s="4" t="str">
        <f aca="false">IFERROR(INDEX('Region Lookup'!$B$2:$B$233,MATCH(A282,'Region Lookup'!$A$2:$A$233,0)),"Not found")</f>
        <v>East Asia &amp; Pacific</v>
      </c>
      <c r="C282" s="4" t="n">
        <v>2015</v>
      </c>
      <c r="D282" s="6" t="n">
        <v>52680.72266</v>
      </c>
      <c r="E282" s="7" t="n">
        <v>29.8579998</v>
      </c>
      <c r="F282" s="7" t="n">
        <v>73.5874705</v>
      </c>
      <c r="G282" s="7" t="n">
        <v>6.835532269</v>
      </c>
      <c r="H282" s="7" t="n">
        <v>8.269037119</v>
      </c>
      <c r="I282" s="7" t="n">
        <v>11.30796011</v>
      </c>
      <c r="J282" s="7" t="n">
        <v>67.24961354</v>
      </c>
      <c r="K282" s="7" t="n">
        <v>8.042280354</v>
      </c>
      <c r="L282" s="7" t="n">
        <v>10.1459869</v>
      </c>
      <c r="M282" s="7" t="n">
        <v>14.56211921</v>
      </c>
      <c r="N282" s="7" t="n">
        <v>88.47627629</v>
      </c>
      <c r="O282" s="7" t="n">
        <v>4.000656379</v>
      </c>
      <c r="P282" s="7" t="n">
        <v>3.859732696</v>
      </c>
      <c r="Q282" s="7" t="n">
        <v>3.663334632</v>
      </c>
      <c r="R282" s="8" t="n">
        <f aca="false">IF($A282=$A283,$C283-$C282,"")</f>
        <v>5</v>
      </c>
      <c r="S282" s="9" t="n">
        <f aca="false">IF(AND($A282=$A283,ISNUMBER(F282),ISNUMBER(F283)),(F283-F282)/($C283-$C282),"")</f>
        <v>2.026144282</v>
      </c>
      <c r="T282" s="9" t="n">
        <f aca="false">IF(AND($A282=$A283,ISNUMBER(J282),ISNUMBER(J283)),(J283-J282)/($C283-$C282),"")</f>
        <v>2.23459023</v>
      </c>
      <c r="U282" s="9" t="n">
        <f aca="false">IF(AND($A282=$A283,ISNUMBER(N282),ISNUMBER(N283)),(N283-N282)/($C283-$C282),"")</f>
        <v>1.390321954</v>
      </c>
      <c r="V282" s="8" t="n">
        <f aca="false">IF(ISNUMBER(F282),ROUND(F282,0),"")</f>
        <v>74</v>
      </c>
      <c r="W282" s="8" t="n">
        <f aca="false">IF(ISNUMBER(J282),ROUND(J282,0),"")</f>
        <v>67</v>
      </c>
      <c r="X282" s="8" t="n">
        <f aca="false">IF(ISNUMBER(N282),ROUND(N282,0),"")</f>
        <v>88</v>
      </c>
      <c r="Y282" s="4" t="str">
        <f aca="false">IF(AND($A282=$A283,V282=100,V283=100),"full access","")</f>
        <v/>
      </c>
      <c r="Z282" s="4" t="str">
        <f aca="false">IF(AND($A282=$A283,W282=100,W283=100),"full access","")</f>
        <v/>
      </c>
      <c r="AA282" s="4" t="str">
        <f aca="false">IF(AND($A282=$A283,X282=100,X283=100),"full access","")</f>
        <v/>
      </c>
      <c r="AB282" s="9" t="n">
        <f aca="false">IF(AND(ISNUMBER(T282),ISNUMBER(U282)),T282-U282,"")</f>
        <v>0.844268276</v>
      </c>
    </row>
    <row r="283" customFormat="false" ht="15" hidden="false" customHeight="false" outlineLevel="0" collapsed="false">
      <c r="A283" s="4" t="s">
        <v>223</v>
      </c>
      <c r="B283" s="4" t="str">
        <f aca="false">IFERROR(INDEX('Region Lookup'!$B$2:$B$233,MATCH(A283,'Region Lookup'!$A$2:$A$233,0)),"Not found")</f>
        <v>East Asia &amp; Pacific</v>
      </c>
      <c r="C283" s="4" t="n">
        <v>2020</v>
      </c>
      <c r="D283" s="6" t="n">
        <v>54409.79297</v>
      </c>
      <c r="E283" s="7" t="n">
        <v>31.14100075</v>
      </c>
      <c r="F283" s="7" t="n">
        <v>83.71819191</v>
      </c>
      <c r="G283" s="7" t="n">
        <v>1.595436949</v>
      </c>
      <c r="H283" s="7" t="n">
        <v>5.10942478</v>
      </c>
      <c r="I283" s="7" t="n">
        <v>9.576946362</v>
      </c>
      <c r="J283" s="7" t="n">
        <v>78.42256469</v>
      </c>
      <c r="K283" s="7" t="n">
        <v>2.316962142</v>
      </c>
      <c r="L283" s="7" t="n">
        <v>6.592393694</v>
      </c>
      <c r="M283" s="7" t="n">
        <v>12.66807947</v>
      </c>
      <c r="N283" s="7" t="n">
        <v>95.42788606</v>
      </c>
      <c r="O283" s="7" t="n">
        <v>0</v>
      </c>
      <c r="P283" s="7" t="n">
        <v>1.830283006</v>
      </c>
      <c r="Q283" s="7" t="n">
        <v>2.741830931</v>
      </c>
      <c r="R283" s="8" t="str">
        <f aca="false">IF($A283=$A284,$C284-$C283,"")</f>
        <v/>
      </c>
      <c r="S283" s="9" t="str">
        <f aca="false">IF(AND($A283=$A284,ISNUMBER(F283),ISNUMBER(F284)),(F284-F283)/($C284-$C283),"")</f>
        <v/>
      </c>
      <c r="T283" s="9" t="str">
        <f aca="false">IF(AND($A283=$A284,ISNUMBER(J283),ISNUMBER(J284)),(J284-J283)/($C284-$C283),"")</f>
        <v/>
      </c>
      <c r="U283" s="9" t="str">
        <f aca="false">IF(AND($A283=$A284,ISNUMBER(N283),ISNUMBER(N284)),(N284-N283)/($C284-$C283),"")</f>
        <v/>
      </c>
      <c r="V283" s="8" t="n">
        <f aca="false">IF(ISNUMBER(F283),ROUND(F283,0),"")</f>
        <v>84</v>
      </c>
      <c r="W283" s="8" t="n">
        <f aca="false">IF(ISNUMBER(J283),ROUND(J283,0),"")</f>
        <v>78</v>
      </c>
      <c r="X283" s="8" t="n">
        <f aca="false">IF(ISNUMBER(N283),ROUND(N283,0),"")</f>
        <v>95</v>
      </c>
      <c r="Y283" s="4" t="str">
        <f aca="false">IF(AND($A283=$A284,V283=100,V284=100),"full access","")</f>
        <v/>
      </c>
      <c r="Z283" s="4" t="str">
        <f aca="false">IF(AND($A283=$A284,W283=100,W284=100),"full access","")</f>
        <v/>
      </c>
      <c r="AA283" s="4" t="str">
        <f aca="false">IF(AND($A283=$A284,X283=100,X284=100),"full access","")</f>
        <v/>
      </c>
      <c r="AB283" s="9" t="str">
        <f aca="false">IF(AND(ISNUMBER(T283),ISNUMBER(U283)),T283-U283,"")</f>
        <v/>
      </c>
    </row>
    <row r="284" customFormat="false" ht="15" hidden="false" customHeight="false" outlineLevel="0" collapsed="false">
      <c r="A284" s="10" t="s">
        <v>224</v>
      </c>
      <c r="B284" s="10" t="str">
        <f aca="false">IFERROR(INDEX('Region Lookup'!$B$2:$B$233,MATCH(A284,'Region Lookup'!$A$2:$A$233,0)),"Not found")</f>
        <v>Sub-Saharan Africa</v>
      </c>
      <c r="C284" s="10" t="n">
        <v>2015</v>
      </c>
      <c r="D284" s="11" t="n">
        <v>2314.900879</v>
      </c>
      <c r="E284" s="12" t="n">
        <v>46.90000534</v>
      </c>
      <c r="F284" s="12" t="n">
        <v>82.52413515</v>
      </c>
      <c r="G284" s="12" t="n">
        <v>7.275476154</v>
      </c>
      <c r="H284" s="12" t="n">
        <v>4.416461411</v>
      </c>
      <c r="I284" s="12" t="n">
        <v>5.783927281</v>
      </c>
      <c r="J284" s="12" t="n">
        <v>70.14103138</v>
      </c>
      <c r="K284" s="12" t="n">
        <v>11.72007222</v>
      </c>
      <c r="L284" s="12" t="n">
        <v>7.614389637</v>
      </c>
      <c r="M284" s="12" t="n">
        <v>10.52450676</v>
      </c>
      <c r="N284" s="12" t="n">
        <v>96.54423562</v>
      </c>
      <c r="O284" s="12" t="n">
        <v>2.243322298</v>
      </c>
      <c r="P284" s="12" t="n">
        <v>0.7957798889</v>
      </c>
      <c r="Q284" s="12" t="n">
        <v>0.4166621911</v>
      </c>
      <c r="R284" s="13" t="n">
        <f aca="false">IF($A284=$A285,$C285-$C284,"")</f>
        <v>5</v>
      </c>
      <c r="S284" s="14" t="n">
        <f aca="false">IF(AND($A284=$A285,ISNUMBER(F284),ISNUMBER(F285)),(F285-F284)/($C285-$C284),"")</f>
        <v>0.349180225999999</v>
      </c>
      <c r="T284" s="14" t="n">
        <f aca="false">IF(AND($A284=$A285,ISNUMBER(J284),ISNUMBER(J285)),(J285-J284)/($C285-$C284),"")</f>
        <v>0.223027210000001</v>
      </c>
      <c r="U284" s="14" t="n">
        <f aca="false">IF(AND($A284=$A285,ISNUMBER(N284),ISNUMBER(N285)),(N285-N284)/($C285-$C284),"")</f>
        <v>-0.0554540539999977</v>
      </c>
      <c r="V284" s="13" t="n">
        <f aca="false">IF(ISNUMBER(F284),ROUND(F284,0),"")</f>
        <v>83</v>
      </c>
      <c r="W284" s="13" t="n">
        <f aca="false">IF(ISNUMBER(J284),ROUND(J284,0),"")</f>
        <v>70</v>
      </c>
      <c r="X284" s="13" t="n">
        <f aca="false">IF(ISNUMBER(N284),ROUND(N284,0),"")</f>
        <v>97</v>
      </c>
      <c r="Y284" s="10" t="str">
        <f aca="false">IF(AND($A284=$A285,V284=100,V285=100),"full access","")</f>
        <v/>
      </c>
      <c r="Z284" s="10" t="str">
        <f aca="false">IF(AND($A284=$A285,W284=100,W285=100),"full access","")</f>
        <v/>
      </c>
      <c r="AA284" s="10" t="str">
        <f aca="false">IF(AND($A284=$A285,X284=100,X285=100),"full access","")</f>
        <v/>
      </c>
      <c r="AB284" s="14" t="n">
        <f aca="false">IF(AND(ISNUMBER(T284),ISNUMBER(U284)),T284-U284,"")</f>
        <v>0.278481263999998</v>
      </c>
    </row>
    <row r="285" customFormat="false" ht="15" hidden="false" customHeight="false" outlineLevel="0" collapsed="false">
      <c r="A285" s="10" t="s">
        <v>224</v>
      </c>
      <c r="B285" s="10" t="str">
        <f aca="false">IFERROR(INDEX('Region Lookup'!$B$2:$B$233,MATCH(A285,'Region Lookup'!$A$2:$A$233,0)),"Not found")</f>
        <v>Sub-Saharan Africa</v>
      </c>
      <c r="C285" s="10" t="n">
        <v>2020</v>
      </c>
      <c r="D285" s="11" t="n">
        <v>2540.916016</v>
      </c>
      <c r="E285" s="12" t="n">
        <v>52.03300095</v>
      </c>
      <c r="F285" s="12" t="n">
        <v>84.27003628</v>
      </c>
      <c r="G285" s="12" t="n">
        <v>7.08762751</v>
      </c>
      <c r="H285" s="12" t="n">
        <v>3.740143722</v>
      </c>
      <c r="I285" s="12" t="n">
        <v>4.902192485</v>
      </c>
      <c r="J285" s="12" t="n">
        <v>71.25616743</v>
      </c>
      <c r="K285" s="12" t="n">
        <v>11.97218925</v>
      </c>
      <c r="L285" s="12" t="n">
        <v>7.081803759</v>
      </c>
      <c r="M285" s="12" t="n">
        <v>9.689839563</v>
      </c>
      <c r="N285" s="12" t="n">
        <v>96.26696535</v>
      </c>
      <c r="O285" s="12" t="n">
        <v>2.584758965</v>
      </c>
      <c r="P285" s="12" t="n">
        <v>0.6596102638</v>
      </c>
      <c r="Q285" s="12" t="n">
        <v>0.4886654211</v>
      </c>
      <c r="R285" s="13" t="str">
        <f aca="false">IF($A285=$A286,$C286-$C285,"")</f>
        <v/>
      </c>
      <c r="S285" s="14" t="str">
        <f aca="false">IF(AND($A285=$A286,ISNUMBER(F285),ISNUMBER(F286)),(F286-F285)/($C286-$C285),"")</f>
        <v/>
      </c>
      <c r="T285" s="14" t="str">
        <f aca="false">IF(AND($A285=$A286,ISNUMBER(J285),ISNUMBER(J286)),(J286-J285)/($C286-$C285),"")</f>
        <v/>
      </c>
      <c r="U285" s="14" t="str">
        <f aca="false">IF(AND($A285=$A286,ISNUMBER(N285),ISNUMBER(N286)),(N286-N285)/($C286-$C285),"")</f>
        <v/>
      </c>
      <c r="V285" s="13" t="n">
        <f aca="false">IF(ISNUMBER(F285),ROUND(F285,0),"")</f>
        <v>84</v>
      </c>
      <c r="W285" s="13" t="n">
        <f aca="false">IF(ISNUMBER(J285),ROUND(J285,0),"")</f>
        <v>71</v>
      </c>
      <c r="X285" s="13" t="n">
        <f aca="false">IF(ISNUMBER(N285),ROUND(N285,0),"")</f>
        <v>96</v>
      </c>
      <c r="Y285" s="10" t="str">
        <f aca="false">IF(AND($A285=$A286,V285=100,V286=100),"full access","")</f>
        <v/>
      </c>
      <c r="Z285" s="10" t="str">
        <f aca="false">IF(AND($A285=$A286,W285=100,W286=100),"full access","")</f>
        <v/>
      </c>
      <c r="AA285" s="10" t="str">
        <f aca="false">IF(AND($A285=$A286,X285=100,X286=100),"full access","")</f>
        <v/>
      </c>
      <c r="AB285" s="14" t="str">
        <f aca="false">IF(AND(ISNUMBER(T285),ISNUMBER(U285)),T285-U285,"")</f>
        <v/>
      </c>
    </row>
    <row r="286" customFormat="false" ht="15" hidden="false" customHeight="false" outlineLevel="0" collapsed="false">
      <c r="A286" s="4" t="s">
        <v>225</v>
      </c>
      <c r="B286" s="4" t="str">
        <f aca="false">IFERROR(INDEX('Region Lookup'!$B$2:$B$233,MATCH(A286,'Region Lookup'!$A$2:$A$233,0)),"Not found")</f>
        <v>East Asia &amp; Pacific</v>
      </c>
      <c r="C286" s="4" t="n">
        <v>2015</v>
      </c>
      <c r="D286" s="6" t="n">
        <v>10.3739996</v>
      </c>
      <c r="E286" s="7" t="n">
        <v>100</v>
      </c>
      <c r="F286" s="7" t="n">
        <v>100</v>
      </c>
      <c r="G286" s="7" t="n">
        <v>0</v>
      </c>
      <c r="H286" s="7" t="n">
        <v>0</v>
      </c>
      <c r="I286" s="7" t="n">
        <v>0</v>
      </c>
      <c r="J286" s="7"/>
      <c r="K286" s="7"/>
      <c r="L286" s="7"/>
      <c r="M286" s="7"/>
      <c r="N286" s="7" t="n">
        <v>100</v>
      </c>
      <c r="O286" s="7" t="n">
        <v>0</v>
      </c>
      <c r="P286" s="7" t="n">
        <v>0</v>
      </c>
      <c r="Q286" s="7" t="n">
        <v>0</v>
      </c>
      <c r="R286" s="8" t="n">
        <f aca="false">IF($A286=$A287,$C287-$C286,"")</f>
        <v>5</v>
      </c>
      <c r="S286" s="9" t="n">
        <f aca="false">IF(AND($A286=$A287,ISNUMBER(F286),ISNUMBER(F287)),(F287-F286)/($C287-$C286),"")</f>
        <v>0</v>
      </c>
      <c r="T286" s="9" t="str">
        <f aca="false">IF(AND($A286=$A287,ISNUMBER(J286),ISNUMBER(J287)),(J287-J286)/($C287-$C286),"")</f>
        <v/>
      </c>
      <c r="U286" s="9" t="n">
        <f aca="false">IF(AND($A286=$A287,ISNUMBER(N286),ISNUMBER(N287)),(N287-N286)/($C287-$C286),"")</f>
        <v>0</v>
      </c>
      <c r="V286" s="8" t="n">
        <f aca="false">IF(ISNUMBER(F286),ROUND(F286,0),"")</f>
        <v>100</v>
      </c>
      <c r="W286" s="8" t="str">
        <f aca="false">IF(ISNUMBER(J286),ROUND(J286,0),"")</f>
        <v/>
      </c>
      <c r="X286" s="8" t="n">
        <f aca="false">IF(ISNUMBER(N286),ROUND(N286,0),"")</f>
        <v>100</v>
      </c>
      <c r="Y286" s="4" t="str">
        <f aca="false">IF(AND($A286=$A287,V286=100,V287=100),"full access","")</f>
        <v>full access</v>
      </c>
      <c r="Z286" s="4" t="str">
        <f aca="false">IF(AND($A286=$A287,W286=100,W287=100),"full access","")</f>
        <v/>
      </c>
      <c r="AA286" s="4" t="str">
        <f aca="false">IF(AND($A286=$A287,X286=100,X287=100),"full access","")</f>
        <v>full access</v>
      </c>
      <c r="AB286" s="9" t="str">
        <f aca="false">IF(AND(ISNUMBER(T286),ISNUMBER(U286)),T286-U286,"")</f>
        <v/>
      </c>
    </row>
    <row r="287" customFormat="false" ht="15" hidden="false" customHeight="false" outlineLevel="0" collapsed="false">
      <c r="A287" s="4" t="s">
        <v>225</v>
      </c>
      <c r="B287" s="4" t="str">
        <f aca="false">IFERROR(INDEX('Region Lookup'!$B$2:$B$233,MATCH(A287,'Region Lookup'!$A$2:$A$233,0)),"Not found")</f>
        <v>East Asia &amp; Pacific</v>
      </c>
      <c r="C287" s="4" t="n">
        <v>2020</v>
      </c>
      <c r="D287" s="6" t="n">
        <v>10.83399963</v>
      </c>
      <c r="E287" s="7" t="n">
        <v>100</v>
      </c>
      <c r="F287" s="7" t="n">
        <v>100</v>
      </c>
      <c r="G287" s="7" t="n">
        <v>0</v>
      </c>
      <c r="H287" s="7" t="n">
        <v>0</v>
      </c>
      <c r="I287" s="7" t="n">
        <v>0</v>
      </c>
      <c r="J287" s="7"/>
      <c r="K287" s="7"/>
      <c r="L287" s="7"/>
      <c r="M287" s="7"/>
      <c r="N287" s="7" t="n">
        <v>100</v>
      </c>
      <c r="O287" s="7" t="n">
        <v>0</v>
      </c>
      <c r="P287" s="7" t="n">
        <v>0</v>
      </c>
      <c r="Q287" s="7" t="n">
        <v>0</v>
      </c>
      <c r="R287" s="8" t="str">
        <f aca="false">IF($A287=$A288,$C288-$C287,"")</f>
        <v/>
      </c>
      <c r="S287" s="9" t="str">
        <f aca="false">IF(AND($A287=$A288,ISNUMBER(F287),ISNUMBER(F288)),(F288-F287)/($C288-$C287),"")</f>
        <v/>
      </c>
      <c r="T287" s="9" t="str">
        <f aca="false">IF(AND($A287=$A288,ISNUMBER(J287),ISNUMBER(J288)),(J288-J287)/($C288-$C287),"")</f>
        <v/>
      </c>
      <c r="U287" s="9" t="str">
        <f aca="false">IF(AND($A287=$A288,ISNUMBER(N287),ISNUMBER(N288)),(N288-N287)/($C288-$C287),"")</f>
        <v/>
      </c>
      <c r="V287" s="8" t="n">
        <f aca="false">IF(ISNUMBER(F287),ROUND(F287,0),"")</f>
        <v>100</v>
      </c>
      <c r="W287" s="8" t="str">
        <f aca="false">IF(ISNUMBER(J287),ROUND(J287,0),"")</f>
        <v/>
      </c>
      <c r="X287" s="8" t="n">
        <f aca="false">IF(ISNUMBER(N287),ROUND(N287,0),"")</f>
        <v>100</v>
      </c>
      <c r="Y287" s="4" t="str">
        <f aca="false">IF(AND($A287=$A288,V287=100,V288=100),"full access","")</f>
        <v/>
      </c>
      <c r="Z287" s="4" t="str">
        <f aca="false">IF(AND($A287=$A288,W287=100,W288=100),"full access","")</f>
        <v/>
      </c>
      <c r="AA287" s="4" t="str">
        <f aca="false">IF(AND($A287=$A288,X287=100,X288=100),"full access","")</f>
        <v/>
      </c>
      <c r="AB287" s="9" t="str">
        <f aca="false">IF(AND(ISNUMBER(T287),ISNUMBER(U287)),T287-U287,"")</f>
        <v/>
      </c>
    </row>
    <row r="288" customFormat="false" ht="15" hidden="false" customHeight="false" outlineLevel="0" collapsed="false">
      <c r="A288" s="10" t="s">
        <v>226</v>
      </c>
      <c r="B288" s="10" t="str">
        <f aca="false">IFERROR(INDEX('Region Lookup'!$B$2:$B$233,MATCH(A288,'Region Lookup'!$A$2:$A$233,0)),"Not found")</f>
        <v>South Asia</v>
      </c>
      <c r="C288" s="10" t="n">
        <v>2015</v>
      </c>
      <c r="D288" s="11" t="n">
        <v>27015.0332</v>
      </c>
      <c r="E288" s="12" t="n">
        <v>18.55699921</v>
      </c>
      <c r="F288" s="12" t="n">
        <v>87.80846759</v>
      </c>
      <c r="G288" s="12" t="n">
        <v>3.167904459</v>
      </c>
      <c r="H288" s="12" t="n">
        <v>7.264208528</v>
      </c>
      <c r="I288" s="12" t="n">
        <v>1.759419423</v>
      </c>
      <c r="J288" s="12" t="n">
        <v>87.24197964</v>
      </c>
      <c r="K288" s="12" t="n">
        <v>3.310271258</v>
      </c>
      <c r="L288" s="12" t="n">
        <v>7.531317484</v>
      </c>
      <c r="M288" s="12" t="n">
        <v>1.916431618</v>
      </c>
      <c r="N288" s="12" t="n">
        <v>90.2946711</v>
      </c>
      <c r="O288" s="12" t="n">
        <v>2.543084752</v>
      </c>
      <c r="P288" s="12" t="n">
        <v>6.091920182</v>
      </c>
      <c r="Q288" s="12" t="n">
        <v>1.07032397</v>
      </c>
      <c r="R288" s="13" t="n">
        <f aca="false">IF($A288=$A289,$C289-$C288,"")</f>
        <v>5</v>
      </c>
      <c r="S288" s="14" t="n">
        <f aca="false">IF(AND($A288=$A289,ISNUMBER(F288),ISNUMBER(F289)),(F289-F288)/($C289-$C288),"")</f>
        <v>0.453214839999998</v>
      </c>
      <c r="T288" s="14" t="n">
        <f aca="false">IF(AND($A288=$A289,ISNUMBER(J288),ISNUMBER(J289)),(J289-J288)/($C289-$C288),"")</f>
        <v>0.592258402000002</v>
      </c>
      <c r="U288" s="14" t="n">
        <f aca="false">IF(AND($A288=$A289,ISNUMBER(N288),ISNUMBER(N289)),(N289-N288)/($C289-$C288),"")</f>
        <v>-0.143407587999999</v>
      </c>
      <c r="V288" s="13" t="n">
        <f aca="false">IF(ISNUMBER(F288),ROUND(F288,0),"")</f>
        <v>88</v>
      </c>
      <c r="W288" s="13" t="n">
        <f aca="false">IF(ISNUMBER(J288),ROUND(J288,0),"")</f>
        <v>87</v>
      </c>
      <c r="X288" s="13" t="n">
        <f aca="false">IF(ISNUMBER(N288),ROUND(N288,0),"")</f>
        <v>90</v>
      </c>
      <c r="Y288" s="10" t="str">
        <f aca="false">IF(AND($A288=$A289,V288=100,V289=100),"full access","")</f>
        <v/>
      </c>
      <c r="Z288" s="10" t="str">
        <f aca="false">IF(AND($A288=$A289,W288=100,W289=100),"full access","")</f>
        <v/>
      </c>
      <c r="AA288" s="10" t="str">
        <f aca="false">IF(AND($A288=$A289,X288=100,X289=100),"full access","")</f>
        <v/>
      </c>
      <c r="AB288" s="14" t="n">
        <f aca="false">IF(AND(ISNUMBER(T288),ISNUMBER(U288)),T288-U288,"")</f>
        <v>0.735665990000001</v>
      </c>
    </row>
    <row r="289" customFormat="false" ht="15" hidden="false" customHeight="false" outlineLevel="0" collapsed="false">
      <c r="A289" s="10" t="s">
        <v>226</v>
      </c>
      <c r="B289" s="10" t="str">
        <f aca="false">IFERROR(INDEX('Region Lookup'!$B$2:$B$233,MATCH(A289,'Region Lookup'!$A$2:$A$233,0)),"Not found")</f>
        <v>South Asia</v>
      </c>
      <c r="C289" s="10" t="n">
        <v>2020</v>
      </c>
      <c r="D289" s="11" t="n">
        <v>29136.80859</v>
      </c>
      <c r="E289" s="12" t="n">
        <v>20.57600021</v>
      </c>
      <c r="F289" s="12" t="n">
        <v>90.07454179</v>
      </c>
      <c r="G289" s="12" t="n">
        <v>3.979825725</v>
      </c>
      <c r="H289" s="12" t="n">
        <v>4.699081176</v>
      </c>
      <c r="I289" s="12" t="n">
        <v>1.246551314</v>
      </c>
      <c r="J289" s="12" t="n">
        <v>90.20327165</v>
      </c>
      <c r="K289" s="12" t="n">
        <v>4.207348246</v>
      </c>
      <c r="L289" s="12" t="n">
        <v>4.269023951</v>
      </c>
      <c r="M289" s="12" t="n">
        <v>1.320356149</v>
      </c>
      <c r="N289" s="12" t="n">
        <v>89.57763316</v>
      </c>
      <c r="O289" s="12" t="n">
        <v>3.101581411</v>
      </c>
      <c r="P289" s="12" t="n">
        <v>6.359123168</v>
      </c>
      <c r="Q289" s="12" t="n">
        <v>0.9616622585</v>
      </c>
      <c r="R289" s="13" t="str">
        <f aca="false">IF($A289=$A290,$C290-$C289,"")</f>
        <v/>
      </c>
      <c r="S289" s="14" t="str">
        <f aca="false">IF(AND($A289=$A290,ISNUMBER(F289),ISNUMBER(F290)),(F290-F289)/($C290-$C289),"")</f>
        <v/>
      </c>
      <c r="T289" s="14" t="str">
        <f aca="false">IF(AND($A289=$A290,ISNUMBER(J289),ISNUMBER(J290)),(J290-J289)/($C290-$C289),"")</f>
        <v/>
      </c>
      <c r="U289" s="14" t="str">
        <f aca="false">IF(AND($A289=$A290,ISNUMBER(N289),ISNUMBER(N290)),(N290-N289)/($C290-$C289),"")</f>
        <v/>
      </c>
      <c r="V289" s="13" t="n">
        <f aca="false">IF(ISNUMBER(F289),ROUND(F289,0),"")</f>
        <v>90</v>
      </c>
      <c r="W289" s="13" t="n">
        <f aca="false">IF(ISNUMBER(J289),ROUND(J289,0),"")</f>
        <v>90</v>
      </c>
      <c r="X289" s="13" t="n">
        <f aca="false">IF(ISNUMBER(N289),ROUND(N289,0),"")</f>
        <v>90</v>
      </c>
      <c r="Y289" s="10" t="str">
        <f aca="false">IF(AND($A289=$A290,V289=100,V290=100),"full access","")</f>
        <v/>
      </c>
      <c r="Z289" s="10" t="str">
        <f aca="false">IF(AND($A289=$A290,W289=100,W290=100),"full access","")</f>
        <v/>
      </c>
      <c r="AA289" s="10" t="str">
        <f aca="false">IF(AND($A289=$A290,X289=100,X290=100),"full access","")</f>
        <v/>
      </c>
      <c r="AB289" s="14" t="str">
        <f aca="false">IF(AND(ISNUMBER(T289),ISNUMBER(U289)),T289-U289,"")</f>
        <v/>
      </c>
    </row>
    <row r="290" customFormat="false" ht="15" hidden="false" customHeight="false" outlineLevel="0" collapsed="false">
      <c r="A290" s="4" t="s">
        <v>227</v>
      </c>
      <c r="B290" s="4" t="str">
        <f aca="false">IFERROR(INDEX('Region Lookup'!$B$2:$B$233,MATCH(A290,'Region Lookup'!$A$2:$A$233,0)),"Not found")</f>
        <v>Europe &amp; Central Asia</v>
      </c>
      <c r="C290" s="4" t="n">
        <v>2015</v>
      </c>
      <c r="D290" s="6" t="n">
        <v>16938.49219</v>
      </c>
      <c r="E290" s="7" t="n">
        <v>90.17299652</v>
      </c>
      <c r="F290" s="7" t="n">
        <v>99.99999856</v>
      </c>
      <c r="G290" s="7" t="n">
        <v>0</v>
      </c>
      <c r="H290" s="7" t="n">
        <v>1.441336238E-006</v>
      </c>
      <c r="I290" s="7" t="n">
        <v>0</v>
      </c>
      <c r="J290" s="7" t="n">
        <v>100</v>
      </c>
      <c r="K290" s="7" t="n">
        <v>0</v>
      </c>
      <c r="L290" s="7" t="n">
        <v>0</v>
      </c>
      <c r="M290" s="7" t="n">
        <v>0</v>
      </c>
      <c r="N290" s="7" t="n">
        <v>100</v>
      </c>
      <c r="O290" s="7" t="n">
        <v>0</v>
      </c>
      <c r="P290" s="7" t="n">
        <v>0</v>
      </c>
      <c r="Q290" s="7" t="n">
        <v>0</v>
      </c>
      <c r="R290" s="8" t="n">
        <f aca="false">IF($A290=$A291,$C291-$C290,"")</f>
        <v>5</v>
      </c>
      <c r="S290" s="9" t="n">
        <f aca="false">IF(AND($A290=$A291,ISNUMBER(F290),ISNUMBER(F291)),(F291-F290)/($C291-$C290),"")</f>
        <v>1.46000002132496E-007</v>
      </c>
      <c r="T290" s="9" t="n">
        <f aca="false">IF(AND($A290=$A291,ISNUMBER(J290),ISNUMBER(J291)),(J291-J290)/($C291-$C290),"")</f>
        <v>0</v>
      </c>
      <c r="U290" s="9" t="n">
        <f aca="false">IF(AND($A290=$A291,ISNUMBER(N290),ISNUMBER(N291)),(N291-N290)/($C291-$C290),"")</f>
        <v>0</v>
      </c>
      <c r="V290" s="8" t="n">
        <f aca="false">IF(ISNUMBER(F290),ROUND(F290,0),"")</f>
        <v>100</v>
      </c>
      <c r="W290" s="8" t="n">
        <f aca="false">IF(ISNUMBER(J290),ROUND(J290,0),"")</f>
        <v>100</v>
      </c>
      <c r="X290" s="8" t="n">
        <f aca="false">IF(ISNUMBER(N290),ROUND(N290,0),"")</f>
        <v>100</v>
      </c>
      <c r="Y290" s="4" t="str">
        <f aca="false">IF(AND($A290=$A291,V290=100,V291=100),"full access","")</f>
        <v>full access</v>
      </c>
      <c r="Z290" s="4" t="str">
        <f aca="false">IF(AND($A290=$A291,W290=100,W291=100),"full access","")</f>
        <v>full access</v>
      </c>
      <c r="AA290" s="4" t="str">
        <f aca="false">IF(AND($A290=$A291,X290=100,X291=100),"full access","")</f>
        <v>full access</v>
      </c>
      <c r="AB290" s="9" t="n">
        <f aca="false">IF(AND(ISNUMBER(T290),ISNUMBER(U290)),T290-U290,"")</f>
        <v>0</v>
      </c>
    </row>
    <row r="291" customFormat="false" ht="15" hidden="false" customHeight="false" outlineLevel="0" collapsed="false">
      <c r="A291" s="4" t="s">
        <v>227</v>
      </c>
      <c r="B291" s="4" t="str">
        <f aca="false">IFERROR(INDEX('Region Lookup'!$B$2:$B$233,MATCH(A291,'Region Lookup'!$A$2:$A$233,0)),"Not found")</f>
        <v>Europe &amp; Central Asia</v>
      </c>
      <c r="C291" s="4" t="n">
        <v>2020</v>
      </c>
      <c r="D291" s="6" t="n">
        <v>17134.87305</v>
      </c>
      <c r="E291" s="7" t="n">
        <v>92.23600006</v>
      </c>
      <c r="F291" s="7" t="n">
        <v>99.99999929</v>
      </c>
      <c r="G291" s="7" t="n">
        <v>0</v>
      </c>
      <c r="H291" s="7" t="n">
        <v>7.12408621E-007</v>
      </c>
      <c r="I291" s="7" t="n">
        <v>0</v>
      </c>
      <c r="J291" s="7" t="n">
        <v>100</v>
      </c>
      <c r="K291" s="7" t="n">
        <v>0</v>
      </c>
      <c r="L291" s="7" t="n">
        <v>0</v>
      </c>
      <c r="M291" s="7" t="n">
        <v>0</v>
      </c>
      <c r="N291" s="7" t="n">
        <v>100</v>
      </c>
      <c r="O291" s="7" t="n">
        <v>0</v>
      </c>
      <c r="P291" s="7" t="n">
        <v>0</v>
      </c>
      <c r="Q291" s="7" t="n">
        <v>0</v>
      </c>
      <c r="R291" s="8" t="str">
        <f aca="false">IF($A291=$A292,$C292-$C291,"")</f>
        <v/>
      </c>
      <c r="S291" s="9" t="str">
        <f aca="false">IF(AND($A291=$A292,ISNUMBER(F291),ISNUMBER(F292)),(F292-F291)/($C292-$C291),"")</f>
        <v/>
      </c>
      <c r="T291" s="9" t="str">
        <f aca="false">IF(AND($A291=$A292,ISNUMBER(J291),ISNUMBER(J292)),(J292-J291)/($C292-$C291),"")</f>
        <v/>
      </c>
      <c r="U291" s="9" t="str">
        <f aca="false">IF(AND($A291=$A292,ISNUMBER(N291),ISNUMBER(N292)),(N292-N291)/($C292-$C291),"")</f>
        <v/>
      </c>
      <c r="V291" s="8" t="n">
        <f aca="false">IF(ISNUMBER(F291),ROUND(F291,0),"")</f>
        <v>100</v>
      </c>
      <c r="W291" s="8" t="n">
        <f aca="false">IF(ISNUMBER(J291),ROUND(J291,0),"")</f>
        <v>100</v>
      </c>
      <c r="X291" s="8" t="n">
        <f aca="false">IF(ISNUMBER(N291),ROUND(N291,0),"")</f>
        <v>100</v>
      </c>
      <c r="Y291" s="4" t="str">
        <f aca="false">IF(AND($A291=$A292,V291=100,V292=100),"full access","")</f>
        <v/>
      </c>
      <c r="Z291" s="4" t="str">
        <f aca="false">IF(AND($A291=$A292,W291=100,W292=100),"full access","")</f>
        <v/>
      </c>
      <c r="AA291" s="4" t="str">
        <f aca="false">IF(AND($A291=$A292,X291=100,X292=100),"full access","")</f>
        <v/>
      </c>
      <c r="AB291" s="9" t="str">
        <f aca="false">IF(AND(ISNUMBER(T291),ISNUMBER(U291)),T291-U291,"")</f>
        <v/>
      </c>
    </row>
    <row r="292" customFormat="false" ht="15" hidden="false" customHeight="false" outlineLevel="0" collapsed="false">
      <c r="A292" s="10" t="s">
        <v>228</v>
      </c>
      <c r="B292" s="10" t="str">
        <f aca="false">IFERROR(INDEX('Region Lookup'!$B$2:$B$233,MATCH(A292,'Region Lookup'!$A$2:$A$233,0)),"Not found")</f>
        <v>East Asia &amp; Pacific</v>
      </c>
      <c r="C292" s="10" t="n">
        <v>2015</v>
      </c>
      <c r="D292" s="11" t="n">
        <v>271.0620117</v>
      </c>
      <c r="E292" s="12" t="n">
        <v>69.37900543</v>
      </c>
      <c r="F292" s="12" t="n">
        <v>98.13855849</v>
      </c>
      <c r="G292" s="12" t="n">
        <v>0</v>
      </c>
      <c r="H292" s="12" t="n">
        <v>1.861441508</v>
      </c>
      <c r="I292" s="12" t="n">
        <v>0</v>
      </c>
      <c r="J292" s="12"/>
      <c r="K292" s="12"/>
      <c r="L292" s="12"/>
      <c r="M292" s="12"/>
      <c r="N292" s="12"/>
      <c r="O292" s="12"/>
      <c r="P292" s="12"/>
      <c r="Q292" s="12"/>
      <c r="R292" s="13" t="n">
        <f aca="false">IF($A292=$A293,$C293-$C292,"")</f>
        <v>5</v>
      </c>
      <c r="S292" s="14" t="n">
        <f aca="false">IF(AND($A292=$A293,ISNUMBER(F292),ISNUMBER(F293)),(F293-F292)/($C293-$C292),"")</f>
        <v>0.233352416000002</v>
      </c>
      <c r="T292" s="14" t="str">
        <f aca="false">IF(AND($A292=$A293,ISNUMBER(J292),ISNUMBER(J293)),(J293-J292)/($C293-$C292),"")</f>
        <v/>
      </c>
      <c r="U292" s="14" t="str">
        <f aca="false">IF(AND($A292=$A293,ISNUMBER(N292),ISNUMBER(N293)),(N293-N292)/($C293-$C292),"")</f>
        <v/>
      </c>
      <c r="V292" s="13" t="n">
        <f aca="false">IF(ISNUMBER(F292),ROUND(F292,0),"")</f>
        <v>98</v>
      </c>
      <c r="W292" s="13" t="str">
        <f aca="false">IF(ISNUMBER(J292),ROUND(J292,0),"")</f>
        <v/>
      </c>
      <c r="X292" s="13" t="str">
        <f aca="false">IF(ISNUMBER(N292),ROUND(N292,0),"")</f>
        <v/>
      </c>
      <c r="Y292" s="10" t="str">
        <f aca="false">IF(AND($A292=$A293,V292=100,V293=100),"full access","")</f>
        <v/>
      </c>
      <c r="Z292" s="10" t="str">
        <f aca="false">IF(AND($A292=$A293,W292=100,W293=100),"full access","")</f>
        <v/>
      </c>
      <c r="AA292" s="10" t="str">
        <f aca="false">IF(AND($A292=$A293,X292=100,X293=100),"full access","")</f>
        <v/>
      </c>
      <c r="AB292" s="14" t="str">
        <f aca="false">IF(AND(ISNUMBER(T292),ISNUMBER(U292)),T292-U292,"")</f>
        <v/>
      </c>
    </row>
    <row r="293" customFormat="false" ht="15" hidden="false" customHeight="false" outlineLevel="0" collapsed="false">
      <c r="A293" s="10" t="s">
        <v>228</v>
      </c>
      <c r="B293" s="10" t="str">
        <f aca="false">IFERROR(INDEX('Region Lookup'!$B$2:$B$233,MATCH(A293,'Region Lookup'!$A$2:$A$233,0)),"Not found")</f>
        <v>East Asia &amp; Pacific</v>
      </c>
      <c r="C293" s="10" t="n">
        <v>2020</v>
      </c>
      <c r="D293" s="11" t="n">
        <v>285.4909973</v>
      </c>
      <c r="E293" s="12" t="n">
        <v>71.51799774</v>
      </c>
      <c r="F293" s="12" t="n">
        <v>99.30532057</v>
      </c>
      <c r="G293" s="12" t="n">
        <v>0</v>
      </c>
      <c r="H293" s="12" t="n">
        <v>0.6946794278</v>
      </c>
      <c r="I293" s="12" t="n">
        <v>0</v>
      </c>
      <c r="J293" s="12"/>
      <c r="K293" s="12"/>
      <c r="L293" s="12"/>
      <c r="M293" s="12"/>
      <c r="N293" s="12"/>
      <c r="O293" s="12"/>
      <c r="P293" s="12"/>
      <c r="Q293" s="12"/>
      <c r="R293" s="13" t="str">
        <f aca="false">IF($A293=$A294,$C294-$C293,"")</f>
        <v/>
      </c>
      <c r="S293" s="14" t="str">
        <f aca="false">IF(AND($A293=$A294,ISNUMBER(F293),ISNUMBER(F294)),(F294-F293)/($C294-$C293),"")</f>
        <v/>
      </c>
      <c r="T293" s="14" t="str">
        <f aca="false">IF(AND($A293=$A294,ISNUMBER(J293),ISNUMBER(J294)),(J294-J293)/($C294-$C293),"")</f>
        <v/>
      </c>
      <c r="U293" s="14" t="str">
        <f aca="false">IF(AND($A293=$A294,ISNUMBER(N293),ISNUMBER(N294)),(N294-N293)/($C294-$C293),"")</f>
        <v/>
      </c>
      <c r="V293" s="13" t="n">
        <f aca="false">IF(ISNUMBER(F293),ROUND(F293,0),"")</f>
        <v>99</v>
      </c>
      <c r="W293" s="13" t="str">
        <f aca="false">IF(ISNUMBER(J293),ROUND(J293,0),"")</f>
        <v/>
      </c>
      <c r="X293" s="13" t="str">
        <f aca="false">IF(ISNUMBER(N293),ROUND(N293,0),"")</f>
        <v/>
      </c>
      <c r="Y293" s="10" t="str">
        <f aca="false">IF(AND($A293=$A294,V293=100,V294=100),"full access","")</f>
        <v/>
      </c>
      <c r="Z293" s="10" t="str">
        <f aca="false">IF(AND($A293=$A294,W293=100,W294=100),"full access","")</f>
        <v/>
      </c>
      <c r="AA293" s="10" t="str">
        <f aca="false">IF(AND($A293=$A294,X293=100,X294=100),"full access","")</f>
        <v/>
      </c>
      <c r="AB293" s="14" t="str">
        <f aca="false">IF(AND(ISNUMBER(T293),ISNUMBER(U293)),T293-U293,"")</f>
        <v/>
      </c>
    </row>
    <row r="294" customFormat="false" ht="15" hidden="false" customHeight="false" outlineLevel="0" collapsed="false">
      <c r="A294" s="4" t="s">
        <v>229</v>
      </c>
      <c r="B294" s="4" t="str">
        <f aca="false">IFERROR(INDEX('Region Lookup'!$B$2:$B$233,MATCH(A294,'Region Lookup'!$A$2:$A$233,0)),"Not found")</f>
        <v>East Asia &amp; Pacific</v>
      </c>
      <c r="C294" s="4" t="n">
        <v>2015</v>
      </c>
      <c r="D294" s="6" t="n">
        <v>4614.526855</v>
      </c>
      <c r="E294" s="7" t="n">
        <v>86.34099579</v>
      </c>
      <c r="F294" s="7" t="n">
        <v>99.99999735</v>
      </c>
      <c r="G294" s="7" t="n">
        <v>0</v>
      </c>
      <c r="H294" s="7" t="n">
        <v>2.645348403E-006</v>
      </c>
      <c r="I294" s="7" t="n">
        <v>0</v>
      </c>
      <c r="J294" s="7" t="n">
        <v>100</v>
      </c>
      <c r="K294" s="7" t="n">
        <v>0</v>
      </c>
      <c r="L294" s="7" t="n">
        <v>0</v>
      </c>
      <c r="M294" s="7" t="n">
        <v>0</v>
      </c>
      <c r="N294" s="7" t="n">
        <v>100</v>
      </c>
      <c r="O294" s="7" t="n">
        <v>0</v>
      </c>
      <c r="P294" s="7" t="n">
        <v>0</v>
      </c>
      <c r="Q294" s="7" t="n">
        <v>0</v>
      </c>
      <c r="R294" s="8" t="n">
        <f aca="false">IF($A294=$A295,$C295-$C294,"")</f>
        <v>5</v>
      </c>
      <c r="S294" s="9" t="n">
        <f aca="false">IF(AND($A294=$A295,ISNUMBER(F294),ISNUMBER(F295)),(F295-F294)/($C295-$C294),"")</f>
        <v>7.89999998573876E-007</v>
      </c>
      <c r="T294" s="9" t="n">
        <f aca="false">IF(AND($A294=$A295,ISNUMBER(J294),ISNUMBER(J295)),(J295-J294)/($C295-$C294),"")</f>
        <v>0</v>
      </c>
      <c r="U294" s="9" t="n">
        <f aca="false">IF(AND($A294=$A295,ISNUMBER(N294),ISNUMBER(N295)),(N295-N294)/($C295-$C294),"")</f>
        <v>0</v>
      </c>
      <c r="V294" s="8" t="n">
        <f aca="false">IF(ISNUMBER(F294),ROUND(F294,0),"")</f>
        <v>100</v>
      </c>
      <c r="W294" s="8" t="n">
        <f aca="false">IF(ISNUMBER(J294),ROUND(J294,0),"")</f>
        <v>100</v>
      </c>
      <c r="X294" s="8" t="n">
        <f aca="false">IF(ISNUMBER(N294),ROUND(N294,0),"")</f>
        <v>100</v>
      </c>
      <c r="Y294" s="4" t="str">
        <f aca="false">IF(AND($A294=$A295,V294=100,V295=100),"full access","")</f>
        <v>full access</v>
      </c>
      <c r="Z294" s="4" t="str">
        <f aca="false">IF(AND($A294=$A295,W294=100,W295=100),"full access","")</f>
        <v>full access</v>
      </c>
      <c r="AA294" s="4" t="str">
        <f aca="false">IF(AND($A294=$A295,X294=100,X295=100),"full access","")</f>
        <v>full access</v>
      </c>
      <c r="AB294" s="9" t="n">
        <f aca="false">IF(AND(ISNUMBER(T294),ISNUMBER(U294)),T294-U294,"")</f>
        <v>0</v>
      </c>
    </row>
    <row r="295" customFormat="false" ht="15" hidden="false" customHeight="false" outlineLevel="0" collapsed="false">
      <c r="A295" s="4" t="s">
        <v>229</v>
      </c>
      <c r="B295" s="4" t="str">
        <f aca="false">IFERROR(INDEX('Region Lookup'!$B$2:$B$233,MATCH(A295,'Region Lookup'!$A$2:$A$233,0)),"Not found")</f>
        <v>East Asia &amp; Pacific</v>
      </c>
      <c r="C295" s="4" t="n">
        <v>2020</v>
      </c>
      <c r="D295" s="6" t="n">
        <v>4822.23291</v>
      </c>
      <c r="E295" s="7" t="n">
        <v>86.6989975</v>
      </c>
      <c r="F295" s="7" t="n">
        <v>100.0000013</v>
      </c>
      <c r="G295" s="7" t="n">
        <v>0</v>
      </c>
      <c r="H295" s="7" t="n">
        <v>0</v>
      </c>
      <c r="I295" s="7" t="n">
        <v>0</v>
      </c>
      <c r="J295" s="7" t="n">
        <v>100</v>
      </c>
      <c r="K295" s="7" t="n">
        <v>0</v>
      </c>
      <c r="L295" s="7" t="n">
        <v>0</v>
      </c>
      <c r="M295" s="7" t="n">
        <v>0</v>
      </c>
      <c r="N295" s="7" t="n">
        <v>100</v>
      </c>
      <c r="O295" s="7" t="n">
        <v>0</v>
      </c>
      <c r="P295" s="7" t="n">
        <v>0</v>
      </c>
      <c r="Q295" s="7" t="n">
        <v>0</v>
      </c>
      <c r="R295" s="8" t="str">
        <f aca="false">IF($A295=$A296,$C296-$C295,"")</f>
        <v/>
      </c>
      <c r="S295" s="9" t="str">
        <f aca="false">IF(AND($A295=$A296,ISNUMBER(F295),ISNUMBER(F296)),(F296-F295)/($C296-$C295),"")</f>
        <v/>
      </c>
      <c r="T295" s="9" t="str">
        <f aca="false">IF(AND($A295=$A296,ISNUMBER(J295),ISNUMBER(J296)),(J296-J295)/($C296-$C295),"")</f>
        <v/>
      </c>
      <c r="U295" s="9" t="str">
        <f aca="false">IF(AND($A295=$A296,ISNUMBER(N295),ISNUMBER(N296)),(N296-N295)/($C296-$C295),"")</f>
        <v/>
      </c>
      <c r="V295" s="8" t="n">
        <f aca="false">IF(ISNUMBER(F295),ROUND(F295,0),"")</f>
        <v>100</v>
      </c>
      <c r="W295" s="8" t="n">
        <f aca="false">IF(ISNUMBER(J295),ROUND(J295,0),"")</f>
        <v>100</v>
      </c>
      <c r="X295" s="8" t="n">
        <f aca="false">IF(ISNUMBER(N295),ROUND(N295,0),"")</f>
        <v>100</v>
      </c>
      <c r="Y295" s="4" t="str">
        <f aca="false">IF(AND($A295=$A296,V295=100,V296=100),"full access","")</f>
        <v/>
      </c>
      <c r="Z295" s="4" t="str">
        <f aca="false">IF(AND($A295=$A296,W295=100,W296=100),"full access","")</f>
        <v/>
      </c>
      <c r="AA295" s="4" t="str">
        <f aca="false">IF(AND($A295=$A296,X295=100,X296=100),"full access","")</f>
        <v/>
      </c>
      <c r="AB295" s="9" t="str">
        <f aca="false">IF(AND(ISNUMBER(T295),ISNUMBER(U295)),T295-U295,"")</f>
        <v/>
      </c>
    </row>
    <row r="296" customFormat="false" ht="15" hidden="false" customHeight="false" outlineLevel="0" collapsed="false">
      <c r="A296" s="10" t="s">
        <v>230</v>
      </c>
      <c r="B296" s="10" t="str">
        <f aca="false">IFERROR(INDEX('Region Lookup'!$B$2:$B$233,MATCH(A296,'Region Lookup'!$A$2:$A$233,0)),"Not found")</f>
        <v>Latin America &amp; Caribbean</v>
      </c>
      <c r="C296" s="10" t="n">
        <v>2015</v>
      </c>
      <c r="D296" s="11" t="n">
        <v>6223.233887</v>
      </c>
      <c r="E296" s="12" t="n">
        <v>57.89499664</v>
      </c>
      <c r="F296" s="12" t="n">
        <v>81.35312854</v>
      </c>
      <c r="G296" s="12" t="n">
        <v>1.425927388</v>
      </c>
      <c r="H296" s="12" t="n">
        <v>13.835759</v>
      </c>
      <c r="I296" s="12" t="n">
        <v>3.38518507</v>
      </c>
      <c r="J296" s="12" t="n">
        <v>59.50465784</v>
      </c>
      <c r="K296" s="12" t="n">
        <v>3.238961865</v>
      </c>
      <c r="L296" s="12" t="n">
        <v>29.55960602</v>
      </c>
      <c r="M296" s="12" t="n">
        <v>7.696774271</v>
      </c>
      <c r="N296" s="12" t="n">
        <v>97.24275488</v>
      </c>
      <c r="O296" s="12" t="n">
        <v>0.1073710103</v>
      </c>
      <c r="P296" s="12" t="n">
        <v>2.400356622</v>
      </c>
      <c r="Q296" s="12" t="n">
        <v>0.2495174846</v>
      </c>
      <c r="R296" s="13" t="n">
        <f aca="false">IF($A296=$A297,$C297-$C296,"")</f>
        <v>5</v>
      </c>
      <c r="S296" s="14" t="n">
        <f aca="false">IF(AND($A296=$A297,ISNUMBER(F296),ISNUMBER(F297)),(F297-F296)/($C297-$C296),"")</f>
        <v>0.0711250519999993</v>
      </c>
      <c r="T296" s="14" t="n">
        <f aca="false">IF(AND($A296=$A297,ISNUMBER(J296),ISNUMBER(J297)),(J297-J296)/($C297-$C296),"")</f>
        <v>-0.0794422420000004</v>
      </c>
      <c r="U296" s="14" t="n">
        <f aca="false">IF(AND($A296=$A297,ISNUMBER(N296),ISNUMBER(N297)),(N297-N296)/($C297-$C296),"")</f>
        <v>0.0328403459999976</v>
      </c>
      <c r="V296" s="13" t="n">
        <f aca="false">IF(ISNUMBER(F296),ROUND(F296,0),"")</f>
        <v>81</v>
      </c>
      <c r="W296" s="13" t="n">
        <f aca="false">IF(ISNUMBER(J296),ROUND(J296,0),"")</f>
        <v>60</v>
      </c>
      <c r="X296" s="13" t="n">
        <f aca="false">IF(ISNUMBER(N296),ROUND(N296,0),"")</f>
        <v>97</v>
      </c>
      <c r="Y296" s="10" t="str">
        <f aca="false">IF(AND($A296=$A297,V296=100,V297=100),"full access","")</f>
        <v/>
      </c>
      <c r="Z296" s="10" t="str">
        <f aca="false">IF(AND($A296=$A297,W296=100,W297=100),"full access","")</f>
        <v/>
      </c>
      <c r="AA296" s="10" t="str">
        <f aca="false">IF(AND($A296=$A297,X296=100,X297=100),"full access","")</f>
        <v/>
      </c>
      <c r="AB296" s="14" t="n">
        <f aca="false">IF(AND(ISNUMBER(T296),ISNUMBER(U296)),T296-U296,"")</f>
        <v>-0.112282587999998</v>
      </c>
    </row>
    <row r="297" customFormat="false" ht="15" hidden="false" customHeight="false" outlineLevel="0" collapsed="false">
      <c r="A297" s="10" t="s">
        <v>230</v>
      </c>
      <c r="B297" s="10" t="str">
        <f aca="false">IFERROR(INDEX('Region Lookup'!$B$2:$B$233,MATCH(A297,'Region Lookup'!$A$2:$A$233,0)),"Not found")</f>
        <v>Latin America &amp; Caribbean</v>
      </c>
      <c r="C297" s="10" t="n">
        <v>2020</v>
      </c>
      <c r="D297" s="11" t="n">
        <v>6624.554199</v>
      </c>
      <c r="E297" s="12" t="n">
        <v>59.01200104</v>
      </c>
      <c r="F297" s="12" t="n">
        <v>81.7087538</v>
      </c>
      <c r="G297" s="12" t="n">
        <v>1.506645682</v>
      </c>
      <c r="H297" s="12" t="n">
        <v>13.53053114</v>
      </c>
      <c r="I297" s="12" t="n">
        <v>3.254069378</v>
      </c>
      <c r="J297" s="12" t="n">
        <v>59.10744663</v>
      </c>
      <c r="K297" s="12" t="n">
        <v>3.520974285</v>
      </c>
      <c r="L297" s="12" t="n">
        <v>29.78017368</v>
      </c>
      <c r="M297" s="12" t="n">
        <v>7.5914054</v>
      </c>
      <c r="N297" s="12" t="n">
        <v>97.40695661</v>
      </c>
      <c r="O297" s="12" t="n">
        <v>0.1075523143</v>
      </c>
      <c r="P297" s="12" t="n">
        <v>2.244007656</v>
      </c>
      <c r="Q297" s="12" t="n">
        <v>0.2414834229</v>
      </c>
      <c r="R297" s="13" t="str">
        <f aca="false">IF($A297=$A298,$C298-$C297,"")</f>
        <v/>
      </c>
      <c r="S297" s="14" t="str">
        <f aca="false">IF(AND($A297=$A298,ISNUMBER(F297),ISNUMBER(F298)),(F298-F297)/($C298-$C297),"")</f>
        <v/>
      </c>
      <c r="T297" s="14" t="str">
        <f aca="false">IF(AND($A297=$A298,ISNUMBER(J297),ISNUMBER(J298)),(J298-J297)/($C298-$C297),"")</f>
        <v/>
      </c>
      <c r="U297" s="14" t="str">
        <f aca="false">IF(AND($A297=$A298,ISNUMBER(N297),ISNUMBER(N298)),(N298-N297)/($C298-$C297),"")</f>
        <v/>
      </c>
      <c r="V297" s="13" t="n">
        <f aca="false">IF(ISNUMBER(F297),ROUND(F297,0),"")</f>
        <v>82</v>
      </c>
      <c r="W297" s="13" t="n">
        <f aca="false">IF(ISNUMBER(J297),ROUND(J297,0),"")</f>
        <v>59</v>
      </c>
      <c r="X297" s="13" t="n">
        <f aca="false">IF(ISNUMBER(N297),ROUND(N297,0),"")</f>
        <v>97</v>
      </c>
      <c r="Y297" s="10" t="str">
        <f aca="false">IF(AND($A297=$A298,V297=100,V298=100),"full access","")</f>
        <v/>
      </c>
      <c r="Z297" s="10" t="str">
        <f aca="false">IF(AND($A297=$A298,W297=100,W298=100),"full access","")</f>
        <v/>
      </c>
      <c r="AA297" s="10" t="str">
        <f aca="false">IF(AND($A297=$A298,X297=100,X298=100),"full access","")</f>
        <v/>
      </c>
      <c r="AB297" s="14" t="str">
        <f aca="false">IF(AND(ISNUMBER(T297),ISNUMBER(U297)),T297-U297,"")</f>
        <v/>
      </c>
    </row>
    <row r="298" customFormat="false" ht="15" hidden="false" customHeight="false" outlineLevel="0" collapsed="false">
      <c r="A298" s="4" t="s">
        <v>231</v>
      </c>
      <c r="B298" s="4" t="str">
        <f aca="false">IFERROR(INDEX('Region Lookup'!$B$2:$B$233,MATCH(A298,'Region Lookup'!$A$2:$A$233,0)),"Not found")</f>
        <v>Sub-Saharan Africa</v>
      </c>
      <c r="C298" s="4" t="n">
        <v>2015</v>
      </c>
      <c r="D298" s="6" t="n">
        <v>20001.66211</v>
      </c>
      <c r="E298" s="7" t="n">
        <v>16.24699974</v>
      </c>
      <c r="F298" s="7" t="n">
        <v>45.48245806</v>
      </c>
      <c r="G298" s="7" t="n">
        <v>16.12883696</v>
      </c>
      <c r="H298" s="7" t="n">
        <v>34.71956001</v>
      </c>
      <c r="I298" s="7" t="n">
        <v>3.669144972</v>
      </c>
      <c r="J298" s="7" t="n">
        <v>37.32994165</v>
      </c>
      <c r="K298" s="7" t="n">
        <v>17.64359486</v>
      </c>
      <c r="L298" s="7" t="n">
        <v>40.88848775</v>
      </c>
      <c r="M298" s="7" t="n">
        <v>4.137975751</v>
      </c>
      <c r="N298" s="7" t="n">
        <v>87.50853904</v>
      </c>
      <c r="O298" s="7" t="n">
        <v>8.320286196</v>
      </c>
      <c r="P298" s="7" t="n">
        <v>2.918844344</v>
      </c>
      <c r="Q298" s="7" t="n">
        <v>1.252330425</v>
      </c>
      <c r="R298" s="8" t="n">
        <f aca="false">IF($A298=$A299,$C299-$C298,"")</f>
        <v>5</v>
      </c>
      <c r="S298" s="9" t="n">
        <f aca="false">IF(AND($A298=$A299,ISNUMBER(F298),ISNUMBER(F299)),(F299-F298)/($C299-$C298),"")</f>
        <v>0.285867882000001</v>
      </c>
      <c r="T298" s="9" t="n">
        <f aca="false">IF(AND($A298=$A299,ISNUMBER(J298),ISNUMBER(J299)),(J299-J298)/($C299-$C298),"")</f>
        <v>0.364843533999999</v>
      </c>
      <c r="U298" s="9" t="n">
        <f aca="false">IF(AND($A298=$A299,ISNUMBER(N298),ISNUMBER(N299)),(N299-N298)/($C299-$C298),"")</f>
        <v>-0.338939856000002</v>
      </c>
      <c r="V298" s="8" t="n">
        <f aca="false">IF(ISNUMBER(F298),ROUND(F298,0),"")</f>
        <v>45</v>
      </c>
      <c r="W298" s="8" t="n">
        <f aca="false">IF(ISNUMBER(J298),ROUND(J298,0),"")</f>
        <v>37</v>
      </c>
      <c r="X298" s="8" t="n">
        <f aca="false">IF(ISNUMBER(N298),ROUND(N298,0),"")</f>
        <v>88</v>
      </c>
      <c r="Y298" s="4" t="str">
        <f aca="false">IF(AND($A298=$A299,V298=100,V299=100),"full access","")</f>
        <v/>
      </c>
      <c r="Z298" s="4" t="str">
        <f aca="false">IF(AND($A298=$A299,W298=100,W299=100),"full access","")</f>
        <v/>
      </c>
      <c r="AA298" s="4" t="str">
        <f aca="false">IF(AND($A298=$A299,X298=100,X299=100),"full access","")</f>
        <v/>
      </c>
      <c r="AB298" s="9" t="n">
        <f aca="false">IF(AND(ISNUMBER(T298),ISNUMBER(U298)),T298-U298,"")</f>
        <v>0.703783390000001</v>
      </c>
    </row>
    <row r="299" customFormat="false" ht="15" hidden="false" customHeight="false" outlineLevel="0" collapsed="false">
      <c r="A299" s="4" t="s">
        <v>231</v>
      </c>
      <c r="B299" s="4" t="str">
        <f aca="false">IFERROR(INDEX('Region Lookup'!$B$2:$B$233,MATCH(A299,'Region Lookup'!$A$2:$A$233,0)),"Not found")</f>
        <v>Sub-Saharan Africa</v>
      </c>
      <c r="C299" s="4" t="n">
        <v>2020</v>
      </c>
      <c r="D299" s="6" t="n">
        <v>24206.63672</v>
      </c>
      <c r="E299" s="7" t="n">
        <v>16.62599945</v>
      </c>
      <c r="F299" s="7" t="n">
        <v>46.91179747</v>
      </c>
      <c r="G299" s="7" t="n">
        <v>21.6538987</v>
      </c>
      <c r="H299" s="7" t="n">
        <v>27.02751244</v>
      </c>
      <c r="I299" s="7" t="n">
        <v>4.406791392</v>
      </c>
      <c r="J299" s="7" t="n">
        <v>39.15415932</v>
      </c>
      <c r="K299" s="7" t="n">
        <v>23.98774039</v>
      </c>
      <c r="L299" s="7" t="n">
        <v>31.99150648</v>
      </c>
      <c r="M299" s="7" t="n">
        <v>4.866593813</v>
      </c>
      <c r="N299" s="7" t="n">
        <v>85.81383976</v>
      </c>
      <c r="O299" s="7" t="n">
        <v>9.950440829</v>
      </c>
      <c r="P299" s="7" t="n">
        <v>2.13468778</v>
      </c>
      <c r="Q299" s="7" t="n">
        <v>2.101031634</v>
      </c>
      <c r="R299" s="8" t="str">
        <f aca="false">IF($A299=$A300,$C300-$C299,"")</f>
        <v/>
      </c>
      <c r="S299" s="9" t="str">
        <f aca="false">IF(AND($A299=$A300,ISNUMBER(F299),ISNUMBER(F300)),(F300-F299)/($C300-$C299),"")</f>
        <v/>
      </c>
      <c r="T299" s="9" t="str">
        <f aca="false">IF(AND($A299=$A300,ISNUMBER(J299),ISNUMBER(J300)),(J300-J299)/($C300-$C299),"")</f>
        <v/>
      </c>
      <c r="U299" s="9" t="str">
        <f aca="false">IF(AND($A299=$A300,ISNUMBER(N299),ISNUMBER(N300)),(N300-N299)/($C300-$C299),"")</f>
        <v/>
      </c>
      <c r="V299" s="8" t="n">
        <f aca="false">IF(ISNUMBER(F299),ROUND(F299,0),"")</f>
        <v>47</v>
      </c>
      <c r="W299" s="8" t="n">
        <f aca="false">IF(ISNUMBER(J299),ROUND(J299,0),"")</f>
        <v>39</v>
      </c>
      <c r="X299" s="8" t="n">
        <f aca="false">IF(ISNUMBER(N299),ROUND(N299,0),"")</f>
        <v>86</v>
      </c>
      <c r="Y299" s="4" t="str">
        <f aca="false">IF(AND($A299=$A300,V299=100,V300=100),"full access","")</f>
        <v/>
      </c>
      <c r="Z299" s="4" t="str">
        <f aca="false">IF(AND($A299=$A300,W299=100,W300=100),"full access","")</f>
        <v/>
      </c>
      <c r="AA299" s="4" t="str">
        <f aca="false">IF(AND($A299=$A300,X299=100,X300=100),"full access","")</f>
        <v/>
      </c>
      <c r="AB299" s="9" t="str">
        <f aca="false">IF(AND(ISNUMBER(T299),ISNUMBER(U299)),T299-U299,"")</f>
        <v/>
      </c>
    </row>
    <row r="300" customFormat="false" ht="15" hidden="false" customHeight="false" outlineLevel="0" collapsed="false">
      <c r="A300" s="10" t="s">
        <v>232</v>
      </c>
      <c r="B300" s="10" t="str">
        <f aca="false">IFERROR(INDEX('Region Lookup'!$B$2:$B$233,MATCH(A300,'Region Lookup'!$A$2:$A$233,0)),"Not found")</f>
        <v>Sub-Saharan Africa</v>
      </c>
      <c r="C300" s="10" t="n">
        <v>2015</v>
      </c>
      <c r="D300" s="11" t="n">
        <v>181137.4531</v>
      </c>
      <c r="E300" s="12" t="n">
        <v>47.83799744</v>
      </c>
      <c r="F300" s="12" t="n">
        <v>68.77975546</v>
      </c>
      <c r="G300" s="12" t="n">
        <v>6.713550996</v>
      </c>
      <c r="H300" s="12" t="n">
        <v>14.73376246</v>
      </c>
      <c r="I300" s="12" t="n">
        <v>9.772931086</v>
      </c>
      <c r="J300" s="12" t="n">
        <v>53.492449</v>
      </c>
      <c r="K300" s="12" t="n">
        <v>7.106440271</v>
      </c>
      <c r="L300" s="12" t="n">
        <v>23.1071601</v>
      </c>
      <c r="M300" s="12" t="n">
        <v>16.29395062</v>
      </c>
      <c r="N300" s="12" t="n">
        <v>85.44885832</v>
      </c>
      <c r="O300" s="12" t="n">
        <v>6.285149056</v>
      </c>
      <c r="P300" s="12" t="n">
        <v>5.603506118</v>
      </c>
      <c r="Q300" s="12" t="n">
        <v>2.662486501</v>
      </c>
      <c r="R300" s="13" t="n">
        <f aca="false">IF($A300=$A301,$C301-$C300,"")</f>
        <v>5</v>
      </c>
      <c r="S300" s="14" t="n">
        <f aca="false">IF(AND($A300=$A301,ISNUMBER(F300),ISNUMBER(F301)),(F301-F300)/($C301-$C300),"")</f>
        <v>1.765859584</v>
      </c>
      <c r="T300" s="14" t="n">
        <f aca="false">IF(AND($A300=$A301,ISNUMBER(J300),ISNUMBER(J301)),(J301-J300)/($C301-$C300),"")</f>
        <v>1.633152206</v>
      </c>
      <c r="U300" s="14" t="n">
        <f aca="false">IF(AND($A300=$A301,ISNUMBER(N300),ISNUMBER(N301)),(N301-N300)/($C301-$C300),"")</f>
        <v>1.381769374</v>
      </c>
      <c r="V300" s="13" t="n">
        <f aca="false">IF(ISNUMBER(F300),ROUND(F300,0),"")</f>
        <v>69</v>
      </c>
      <c r="W300" s="13" t="n">
        <f aca="false">IF(ISNUMBER(J300),ROUND(J300,0),"")</f>
        <v>53</v>
      </c>
      <c r="X300" s="13" t="n">
        <f aca="false">IF(ISNUMBER(N300),ROUND(N300,0),"")</f>
        <v>85</v>
      </c>
      <c r="Y300" s="10" t="str">
        <f aca="false">IF(AND($A300=$A301,V300=100,V301=100),"full access","")</f>
        <v/>
      </c>
      <c r="Z300" s="10" t="str">
        <f aca="false">IF(AND($A300=$A301,W300=100,W301=100),"full access","")</f>
        <v/>
      </c>
      <c r="AA300" s="10" t="str">
        <f aca="false">IF(AND($A300=$A301,X300=100,X301=100),"full access","")</f>
        <v/>
      </c>
      <c r="AB300" s="14" t="n">
        <f aca="false">IF(AND(ISNUMBER(T300),ISNUMBER(U300)),T300-U300,"")</f>
        <v>0.251382831999999</v>
      </c>
    </row>
    <row r="301" customFormat="false" ht="15" hidden="false" customHeight="false" outlineLevel="0" collapsed="false">
      <c r="A301" s="10" t="s">
        <v>232</v>
      </c>
      <c r="B301" s="10" t="str">
        <f aca="false">IFERROR(INDEX('Region Lookup'!$B$2:$B$233,MATCH(A301,'Region Lookup'!$A$2:$A$233,0)),"Not found")</f>
        <v>Sub-Saharan Africa</v>
      </c>
      <c r="C301" s="10" t="n">
        <v>2020</v>
      </c>
      <c r="D301" s="11" t="n">
        <v>206139.5938</v>
      </c>
      <c r="E301" s="12" t="n">
        <v>51.95800018</v>
      </c>
      <c r="F301" s="12" t="n">
        <v>77.60905338</v>
      </c>
      <c r="G301" s="12" t="n">
        <v>4.979399343</v>
      </c>
      <c r="H301" s="12" t="n">
        <v>11.79691148</v>
      </c>
      <c r="I301" s="12" t="n">
        <v>5.614635794</v>
      </c>
      <c r="J301" s="12" t="n">
        <v>61.65821003</v>
      </c>
      <c r="K301" s="12" t="n">
        <v>7.128924583</v>
      </c>
      <c r="L301" s="12" t="n">
        <v>20.92487535</v>
      </c>
      <c r="M301" s="12" t="n">
        <v>10.28799004</v>
      </c>
      <c r="N301" s="12" t="n">
        <v>92.35770519</v>
      </c>
      <c r="O301" s="12" t="n">
        <v>2.99188065</v>
      </c>
      <c r="P301" s="12" t="n">
        <v>3.356908786</v>
      </c>
      <c r="Q301" s="12" t="n">
        <v>1.29350537</v>
      </c>
      <c r="R301" s="13" t="str">
        <f aca="false">IF($A301=$A302,$C302-$C301,"")</f>
        <v/>
      </c>
      <c r="S301" s="14" t="str">
        <f aca="false">IF(AND($A301=$A302,ISNUMBER(F301),ISNUMBER(F302)),(F302-F301)/($C302-$C301),"")</f>
        <v/>
      </c>
      <c r="T301" s="14" t="str">
        <f aca="false">IF(AND($A301=$A302,ISNUMBER(J301),ISNUMBER(J302)),(J302-J301)/($C302-$C301),"")</f>
        <v/>
      </c>
      <c r="U301" s="14" t="str">
        <f aca="false">IF(AND($A301=$A302,ISNUMBER(N301),ISNUMBER(N302)),(N302-N301)/($C302-$C301),"")</f>
        <v/>
      </c>
      <c r="V301" s="13" t="n">
        <f aca="false">IF(ISNUMBER(F301),ROUND(F301,0),"")</f>
        <v>78</v>
      </c>
      <c r="W301" s="13" t="n">
        <f aca="false">IF(ISNUMBER(J301),ROUND(J301,0),"")</f>
        <v>62</v>
      </c>
      <c r="X301" s="13" t="n">
        <f aca="false">IF(ISNUMBER(N301),ROUND(N301,0),"")</f>
        <v>92</v>
      </c>
      <c r="Y301" s="10" t="str">
        <f aca="false">IF(AND($A301=$A302,V301=100,V302=100),"full access","")</f>
        <v/>
      </c>
      <c r="Z301" s="10" t="str">
        <f aca="false">IF(AND($A301=$A302,W301=100,W302=100),"full access","")</f>
        <v/>
      </c>
      <c r="AA301" s="10" t="str">
        <f aca="false">IF(AND($A301=$A302,X301=100,X302=100),"full access","")</f>
        <v/>
      </c>
      <c r="AB301" s="14" t="str">
        <f aca="false">IF(AND(ISNUMBER(T301),ISNUMBER(U301)),T301-U301,"")</f>
        <v/>
      </c>
    </row>
    <row r="302" customFormat="false" ht="15" hidden="false" customHeight="false" outlineLevel="0" collapsed="false">
      <c r="A302" s="4" t="s">
        <v>233</v>
      </c>
      <c r="B302" s="4" t="str">
        <f aca="false">IFERROR(INDEX('Region Lookup'!$B$2:$B$233,MATCH(A302,'Region Lookup'!$A$2:$A$233,0)),"Not found")</f>
        <v>East Asia &amp; Pacific</v>
      </c>
      <c r="C302" s="4" t="n">
        <v>2015</v>
      </c>
      <c r="D302" s="6" t="n">
        <v>1.610000014</v>
      </c>
      <c r="E302" s="7" t="n">
        <v>42.56800079</v>
      </c>
      <c r="F302" s="7" t="n">
        <v>97.60613941</v>
      </c>
      <c r="G302" s="7" t="n">
        <v>0</v>
      </c>
      <c r="H302" s="7" t="n">
        <v>2.393860594</v>
      </c>
      <c r="I302" s="7" t="n">
        <v>0</v>
      </c>
      <c r="J302" s="7"/>
      <c r="K302" s="7"/>
      <c r="L302" s="7"/>
      <c r="M302" s="7"/>
      <c r="N302" s="7"/>
      <c r="O302" s="7"/>
      <c r="P302" s="7"/>
      <c r="Q302" s="7"/>
      <c r="R302" s="8" t="n">
        <f aca="false">IF($A302=$A303,$C303-$C302,"")</f>
        <v>5</v>
      </c>
      <c r="S302" s="9" t="n">
        <f aca="false">IF(AND($A302=$A303,ISNUMBER(F302),ISNUMBER(F303)),(F303-F302)/($C303-$C302),"")</f>
        <v>-0.119052646</v>
      </c>
      <c r="T302" s="9" t="str">
        <f aca="false">IF(AND($A302=$A303,ISNUMBER(J302),ISNUMBER(J303)),(J303-J302)/($C303-$C302),"")</f>
        <v/>
      </c>
      <c r="U302" s="9" t="str">
        <f aca="false">IF(AND($A302=$A303,ISNUMBER(N302),ISNUMBER(N303)),(N303-N302)/($C303-$C302),"")</f>
        <v/>
      </c>
      <c r="V302" s="8" t="n">
        <f aca="false">IF(ISNUMBER(F302),ROUND(F302,0),"")</f>
        <v>98</v>
      </c>
      <c r="W302" s="8" t="str">
        <f aca="false">IF(ISNUMBER(J302),ROUND(J302,0),"")</f>
        <v/>
      </c>
      <c r="X302" s="8" t="str">
        <f aca="false">IF(ISNUMBER(N302),ROUND(N302,0),"")</f>
        <v/>
      </c>
      <c r="Y302" s="4" t="str">
        <f aca="false">IF(AND($A302=$A303,V302=100,V303=100),"full access","")</f>
        <v/>
      </c>
      <c r="Z302" s="4" t="str">
        <f aca="false">IF(AND($A302=$A303,W302=100,W303=100),"full access","")</f>
        <v/>
      </c>
      <c r="AA302" s="4" t="str">
        <f aca="false">IF(AND($A302=$A303,X302=100,X303=100),"full access","")</f>
        <v/>
      </c>
      <c r="AB302" s="9" t="str">
        <f aca="false">IF(AND(ISNUMBER(T302),ISNUMBER(U302)),T302-U302,"")</f>
        <v/>
      </c>
    </row>
    <row r="303" customFormat="false" ht="15" hidden="false" customHeight="false" outlineLevel="0" collapsed="false">
      <c r="A303" s="4" t="s">
        <v>233</v>
      </c>
      <c r="B303" s="4" t="str">
        <f aca="false">IFERROR(INDEX('Region Lookup'!$B$2:$B$233,MATCH(A303,'Region Lookup'!$A$2:$A$233,0)),"Not found")</f>
        <v>East Asia &amp; Pacific</v>
      </c>
      <c r="C303" s="4" t="n">
        <v>2020</v>
      </c>
      <c r="D303" s="6" t="n">
        <v>1.618000031</v>
      </c>
      <c r="E303" s="7" t="n">
        <v>46.20200348</v>
      </c>
      <c r="F303" s="7" t="n">
        <v>97.01087618</v>
      </c>
      <c r="G303" s="7" t="n">
        <v>0</v>
      </c>
      <c r="H303" s="7" t="n">
        <v>2.989123822</v>
      </c>
      <c r="I303" s="7" t="n">
        <v>0</v>
      </c>
      <c r="J303" s="7"/>
      <c r="K303" s="7"/>
      <c r="L303" s="7"/>
      <c r="M303" s="7"/>
      <c r="N303" s="7"/>
      <c r="O303" s="7"/>
      <c r="P303" s="7"/>
      <c r="Q303" s="7"/>
      <c r="R303" s="8" t="str">
        <f aca="false">IF($A303=$A304,$C304-$C303,"")</f>
        <v/>
      </c>
      <c r="S303" s="9" t="str">
        <f aca="false">IF(AND($A303=$A304,ISNUMBER(F303),ISNUMBER(F304)),(F304-F303)/($C304-$C303),"")</f>
        <v/>
      </c>
      <c r="T303" s="9" t="str">
        <f aca="false">IF(AND($A303=$A304,ISNUMBER(J303),ISNUMBER(J304)),(J304-J303)/($C304-$C303),"")</f>
        <v/>
      </c>
      <c r="U303" s="9" t="str">
        <f aca="false">IF(AND($A303=$A304,ISNUMBER(N303),ISNUMBER(N304)),(N304-N303)/($C304-$C303),"")</f>
        <v/>
      </c>
      <c r="V303" s="8" t="n">
        <f aca="false">IF(ISNUMBER(F303),ROUND(F303,0),"")</f>
        <v>97</v>
      </c>
      <c r="W303" s="8" t="str">
        <f aca="false">IF(ISNUMBER(J303),ROUND(J303,0),"")</f>
        <v/>
      </c>
      <c r="X303" s="8" t="str">
        <f aca="false">IF(ISNUMBER(N303),ROUND(N303,0),"")</f>
        <v/>
      </c>
      <c r="Y303" s="4" t="str">
        <f aca="false">IF(AND($A303=$A304,V303=100,V304=100),"full access","")</f>
        <v/>
      </c>
      <c r="Z303" s="4" t="str">
        <f aca="false">IF(AND($A303=$A304,W303=100,W304=100),"full access","")</f>
        <v/>
      </c>
      <c r="AA303" s="4" t="str">
        <f aca="false">IF(AND($A303=$A304,X303=100,X304=100),"full access","")</f>
        <v/>
      </c>
      <c r="AB303" s="9" t="str">
        <f aca="false">IF(AND(ISNUMBER(T303),ISNUMBER(U303)),T303-U303,"")</f>
        <v/>
      </c>
    </row>
    <row r="304" customFormat="false" ht="15" hidden="false" customHeight="false" outlineLevel="0" collapsed="false">
      <c r="A304" s="10" t="s">
        <v>234</v>
      </c>
      <c r="B304" s="10" t="str">
        <f aca="false">IFERROR(INDEX('Region Lookup'!$B$2:$B$233,MATCH(A304,'Region Lookup'!$A$2:$A$233,0)),"Not found")</f>
        <v>Europe &amp; Central Asia</v>
      </c>
      <c r="C304" s="10" t="n">
        <v>2015</v>
      </c>
      <c r="D304" s="11" t="n">
        <v>2079.334961</v>
      </c>
      <c r="E304" s="12" t="n">
        <v>57.40799713</v>
      </c>
      <c r="F304" s="12" t="n">
        <v>97.47233283</v>
      </c>
      <c r="G304" s="12" t="n">
        <v>1.885991713</v>
      </c>
      <c r="H304" s="12" t="n">
        <v>0.5924731745</v>
      </c>
      <c r="I304" s="12" t="n">
        <v>0.04920227976</v>
      </c>
      <c r="J304" s="12" t="n">
        <v>97.63323313</v>
      </c>
      <c r="K304" s="12" t="n">
        <v>1.2224645</v>
      </c>
      <c r="L304" s="12" t="n">
        <v>1.028782373</v>
      </c>
      <c r="M304" s="12" t="n">
        <v>0.11552</v>
      </c>
      <c r="N304" s="12" t="n">
        <v>97.35295808</v>
      </c>
      <c r="O304" s="12" t="n">
        <v>2.37827419</v>
      </c>
      <c r="P304" s="12" t="n">
        <v>0.2687677275</v>
      </c>
      <c r="Q304" s="12" t="n">
        <v>0</v>
      </c>
      <c r="R304" s="13" t="n">
        <f aca="false">IF($A304=$A305,$C305-$C304,"")</f>
        <v>5</v>
      </c>
      <c r="S304" s="14" t="n">
        <f aca="false">IF(AND($A304=$A305,ISNUMBER(F304),ISNUMBER(F305)),(F305-F304)/($C305-$C304),"")</f>
        <v>0.0540965919999991</v>
      </c>
      <c r="T304" s="14" t="n">
        <f aca="false">IF(AND($A304=$A305,ISNUMBER(J304),ISNUMBER(J305)),(J305-J304)/($C305-$C304),"")</f>
        <v>-0.0329037119999981</v>
      </c>
      <c r="U304" s="14" t="n">
        <f aca="false">IF(AND($A304=$A305,ISNUMBER(N304),ISNUMBER(N305)),(N305-N304)/($C305-$C304),"")</f>
        <v>0.116888982</v>
      </c>
      <c r="V304" s="13" t="n">
        <f aca="false">IF(ISNUMBER(F304),ROUND(F304,0),"")</f>
        <v>97</v>
      </c>
      <c r="W304" s="13" t="n">
        <f aca="false">IF(ISNUMBER(J304),ROUND(J304,0),"")</f>
        <v>98</v>
      </c>
      <c r="X304" s="13" t="n">
        <f aca="false">IF(ISNUMBER(N304),ROUND(N304,0),"")</f>
        <v>97</v>
      </c>
      <c r="Y304" s="10" t="str">
        <f aca="false">IF(AND($A304=$A305,V304=100,V305=100),"full access","")</f>
        <v/>
      </c>
      <c r="Z304" s="10" t="str">
        <f aca="false">IF(AND($A304=$A305,W304=100,W305=100),"full access","")</f>
        <v/>
      </c>
      <c r="AA304" s="10" t="str">
        <f aca="false">IF(AND($A304=$A305,X304=100,X305=100),"full access","")</f>
        <v/>
      </c>
      <c r="AB304" s="14" t="n">
        <f aca="false">IF(AND(ISNUMBER(T304),ISNUMBER(U304)),T304-U304,"")</f>
        <v>-0.149792693999999</v>
      </c>
    </row>
    <row r="305" customFormat="false" ht="15" hidden="false" customHeight="false" outlineLevel="0" collapsed="false">
      <c r="A305" s="10" t="s">
        <v>234</v>
      </c>
      <c r="B305" s="10" t="str">
        <f aca="false">IFERROR(INDEX('Region Lookup'!$B$2:$B$233,MATCH(A305,'Region Lookup'!$A$2:$A$233,0)),"Not found")</f>
        <v>Europe &amp; Central Asia</v>
      </c>
      <c r="C305" s="10" t="n">
        <v>2020</v>
      </c>
      <c r="D305" s="11" t="n">
        <v>2083.379883</v>
      </c>
      <c r="E305" s="12" t="n">
        <v>58.48199844</v>
      </c>
      <c r="F305" s="12" t="n">
        <v>97.74281579</v>
      </c>
      <c r="G305" s="12" t="n">
        <v>1.63499414</v>
      </c>
      <c r="H305" s="12" t="n">
        <v>0.5742284762</v>
      </c>
      <c r="I305" s="12" t="n">
        <v>0.04796159706</v>
      </c>
      <c r="J305" s="12" t="n">
        <v>97.46871457</v>
      </c>
      <c r="K305" s="12" t="n">
        <v>1.505202232</v>
      </c>
      <c r="L305" s="12" t="n">
        <v>0.9105631982</v>
      </c>
      <c r="M305" s="12" t="n">
        <v>0.11552</v>
      </c>
      <c r="N305" s="12" t="n">
        <v>97.93740299</v>
      </c>
      <c r="O305" s="12" t="n">
        <v>1.727136954</v>
      </c>
      <c r="P305" s="12" t="n">
        <v>0.3354600563</v>
      </c>
      <c r="Q305" s="12" t="n">
        <v>0</v>
      </c>
      <c r="R305" s="13" t="str">
        <f aca="false">IF($A305=$A306,$C306-$C305,"")</f>
        <v/>
      </c>
      <c r="S305" s="14" t="str">
        <f aca="false">IF(AND($A305=$A306,ISNUMBER(F305),ISNUMBER(F306)),(F306-F305)/($C306-$C305),"")</f>
        <v/>
      </c>
      <c r="T305" s="14" t="str">
        <f aca="false">IF(AND($A305=$A306,ISNUMBER(J305),ISNUMBER(J306)),(J306-J305)/($C306-$C305),"")</f>
        <v/>
      </c>
      <c r="U305" s="14" t="str">
        <f aca="false">IF(AND($A305=$A306,ISNUMBER(N305),ISNUMBER(N306)),(N306-N305)/($C306-$C305),"")</f>
        <v/>
      </c>
      <c r="V305" s="13" t="n">
        <f aca="false">IF(ISNUMBER(F305),ROUND(F305,0),"")</f>
        <v>98</v>
      </c>
      <c r="W305" s="13" t="n">
        <f aca="false">IF(ISNUMBER(J305),ROUND(J305,0),"")</f>
        <v>97</v>
      </c>
      <c r="X305" s="13" t="n">
        <f aca="false">IF(ISNUMBER(N305),ROUND(N305,0),"")</f>
        <v>98</v>
      </c>
      <c r="Y305" s="10" t="str">
        <f aca="false">IF(AND($A305=$A306,V305=100,V306=100),"full access","")</f>
        <v/>
      </c>
      <c r="Z305" s="10" t="str">
        <f aca="false">IF(AND($A305=$A306,W305=100,W306=100),"full access","")</f>
        <v/>
      </c>
      <c r="AA305" s="10" t="str">
        <f aca="false">IF(AND($A305=$A306,X305=100,X306=100),"full access","")</f>
        <v/>
      </c>
      <c r="AB305" s="14" t="str">
        <f aca="false">IF(AND(ISNUMBER(T305),ISNUMBER(U305)),T305-U305,"")</f>
        <v/>
      </c>
    </row>
    <row r="306" customFormat="false" ht="15" hidden="false" customHeight="false" outlineLevel="0" collapsed="false">
      <c r="A306" s="4" t="s">
        <v>235</v>
      </c>
      <c r="B306" s="4" t="str">
        <f aca="false">IFERROR(INDEX('Region Lookup'!$B$2:$B$233,MATCH(A306,'Region Lookup'!$A$2:$A$233,0)),"Not found")</f>
        <v>East Asia &amp; Pacific</v>
      </c>
      <c r="C306" s="4" t="n">
        <v>2015</v>
      </c>
      <c r="D306" s="6" t="n">
        <v>55.77899933</v>
      </c>
      <c r="E306" s="7" t="n">
        <v>91.35699463</v>
      </c>
      <c r="F306" s="7" t="n">
        <v>99.98018339</v>
      </c>
      <c r="G306" s="7" t="n">
        <v>0</v>
      </c>
      <c r="H306" s="7" t="n">
        <v>0.01981661152</v>
      </c>
      <c r="I306" s="7" t="n">
        <v>0</v>
      </c>
      <c r="J306" s="7"/>
      <c r="K306" s="7"/>
      <c r="L306" s="7"/>
      <c r="M306" s="7"/>
      <c r="N306" s="7"/>
      <c r="O306" s="7"/>
      <c r="P306" s="7"/>
      <c r="Q306" s="7"/>
      <c r="R306" s="8" t="n">
        <f aca="false">IF($A306=$A307,$C307-$C306,"")</f>
        <v>5</v>
      </c>
      <c r="S306" s="9" t="n">
        <f aca="false">IF(AND($A306=$A307,ISNUMBER(F306),ISNUMBER(F307)),(F307-F306)/($C307-$C306),"")</f>
        <v>0.00396332200000131</v>
      </c>
      <c r="T306" s="9" t="str">
        <f aca="false">IF(AND($A306=$A307,ISNUMBER(J306),ISNUMBER(J307)),(J307-J306)/($C307-$C306),"")</f>
        <v/>
      </c>
      <c r="U306" s="9" t="str">
        <f aca="false">IF(AND($A306=$A307,ISNUMBER(N306),ISNUMBER(N307)),(N307-N306)/($C307-$C306),"")</f>
        <v/>
      </c>
      <c r="V306" s="8" t="n">
        <f aca="false">IF(ISNUMBER(F306),ROUND(F306,0),"")</f>
        <v>100</v>
      </c>
      <c r="W306" s="8" t="str">
        <f aca="false">IF(ISNUMBER(J306),ROUND(J306,0),"")</f>
        <v/>
      </c>
      <c r="X306" s="8" t="str">
        <f aca="false">IF(ISNUMBER(N306),ROUND(N306,0),"")</f>
        <v/>
      </c>
      <c r="Y306" s="4" t="str">
        <f aca="false">IF(AND($A306=$A307,V306=100,V307=100),"full access","")</f>
        <v>full access</v>
      </c>
      <c r="Z306" s="4" t="str">
        <f aca="false">IF(AND($A306=$A307,W306=100,W307=100),"full access","")</f>
        <v/>
      </c>
      <c r="AA306" s="4" t="str">
        <f aca="false">IF(AND($A306=$A307,X306=100,X307=100),"full access","")</f>
        <v/>
      </c>
      <c r="AB306" s="9" t="str">
        <f aca="false">IF(AND(ISNUMBER(T306),ISNUMBER(U306)),T306-U306,"")</f>
        <v/>
      </c>
    </row>
    <row r="307" customFormat="false" ht="15" hidden="false" customHeight="false" outlineLevel="0" collapsed="false">
      <c r="A307" s="4" t="s">
        <v>235</v>
      </c>
      <c r="B307" s="4" t="str">
        <f aca="false">IFERROR(INDEX('Region Lookup'!$B$2:$B$233,MATCH(A307,'Region Lookup'!$A$2:$A$233,0)),"Not found")</f>
        <v>East Asia &amp; Pacific</v>
      </c>
      <c r="C307" s="4" t="n">
        <v>2020</v>
      </c>
      <c r="D307" s="6" t="n">
        <v>57.55699921</v>
      </c>
      <c r="E307" s="7" t="n">
        <v>91.79799652</v>
      </c>
      <c r="F307" s="7" t="n">
        <v>100</v>
      </c>
      <c r="G307" s="7" t="n">
        <v>0</v>
      </c>
      <c r="H307" s="7" t="n">
        <v>0</v>
      </c>
      <c r="I307" s="7" t="n">
        <v>0</v>
      </c>
      <c r="J307" s="7"/>
      <c r="K307" s="7"/>
      <c r="L307" s="7"/>
      <c r="M307" s="7"/>
      <c r="N307" s="7"/>
      <c r="O307" s="7"/>
      <c r="P307" s="7"/>
      <c r="Q307" s="7"/>
      <c r="R307" s="8" t="str">
        <f aca="false">IF($A307=$A308,$C308-$C307,"")</f>
        <v/>
      </c>
      <c r="S307" s="9" t="str">
        <f aca="false">IF(AND($A307=$A308,ISNUMBER(F307),ISNUMBER(F308)),(F308-F307)/($C308-$C307),"")</f>
        <v/>
      </c>
      <c r="T307" s="9" t="str">
        <f aca="false">IF(AND($A307=$A308,ISNUMBER(J307),ISNUMBER(J308)),(J308-J307)/($C308-$C307),"")</f>
        <v/>
      </c>
      <c r="U307" s="9" t="str">
        <f aca="false">IF(AND($A307=$A308,ISNUMBER(N307),ISNUMBER(N308)),(N308-N307)/($C308-$C307),"")</f>
        <v/>
      </c>
      <c r="V307" s="8" t="n">
        <f aca="false">IF(ISNUMBER(F307),ROUND(F307,0),"")</f>
        <v>100</v>
      </c>
      <c r="W307" s="8" t="str">
        <f aca="false">IF(ISNUMBER(J307),ROUND(J307,0),"")</f>
        <v/>
      </c>
      <c r="X307" s="8" t="str">
        <f aca="false">IF(ISNUMBER(N307),ROUND(N307,0),"")</f>
        <v/>
      </c>
      <c r="Y307" s="4" t="str">
        <f aca="false">IF(AND($A307=$A308,V307=100,V308=100),"full access","")</f>
        <v/>
      </c>
      <c r="Z307" s="4" t="str">
        <f aca="false">IF(AND($A307=$A308,W307=100,W308=100),"full access","")</f>
        <v/>
      </c>
      <c r="AA307" s="4" t="str">
        <f aca="false">IF(AND($A307=$A308,X307=100,X308=100),"full access","")</f>
        <v/>
      </c>
      <c r="AB307" s="9" t="str">
        <f aca="false">IF(AND(ISNUMBER(T307),ISNUMBER(U307)),T307-U307,"")</f>
        <v/>
      </c>
    </row>
    <row r="308" customFormat="false" ht="15" hidden="false" customHeight="false" outlineLevel="0" collapsed="false">
      <c r="A308" s="10" t="s">
        <v>236</v>
      </c>
      <c r="B308" s="10" t="str">
        <f aca="false">IFERROR(INDEX('Region Lookup'!$B$2:$B$233,MATCH(A308,'Region Lookup'!$A$2:$A$233,0)),"Not found")</f>
        <v>Europe &amp; Central Asia</v>
      </c>
      <c r="C308" s="10" t="n">
        <v>2015</v>
      </c>
      <c r="D308" s="11" t="n">
        <v>5199.827148</v>
      </c>
      <c r="E308" s="12" t="n">
        <v>81.09099579</v>
      </c>
      <c r="F308" s="12" t="n">
        <v>100.0000012</v>
      </c>
      <c r="G308" s="12" t="n">
        <v>0</v>
      </c>
      <c r="H308" s="12" t="n">
        <v>0</v>
      </c>
      <c r="I308" s="12" t="n">
        <v>0</v>
      </c>
      <c r="J308" s="12" t="n">
        <v>100</v>
      </c>
      <c r="K308" s="12" t="n">
        <v>0</v>
      </c>
      <c r="L308" s="12" t="n">
        <v>0</v>
      </c>
      <c r="M308" s="12" t="n">
        <v>0</v>
      </c>
      <c r="N308" s="12" t="n">
        <v>100</v>
      </c>
      <c r="O308" s="12" t="n">
        <v>0</v>
      </c>
      <c r="P308" s="12" t="n">
        <v>0</v>
      </c>
      <c r="Q308" s="12" t="n">
        <v>0</v>
      </c>
      <c r="R308" s="13" t="n">
        <f aca="false">IF($A308=$A309,$C309-$C308,"")</f>
        <v>5</v>
      </c>
      <c r="S308" s="14" t="n">
        <f aca="false">IF(AND($A308=$A309,ISNUMBER(F308),ISNUMBER(F309)),(F309-F308)/($C309-$C308),"")</f>
        <v>-1.14000000053238E-006</v>
      </c>
      <c r="T308" s="14" t="n">
        <f aca="false">IF(AND($A308=$A309,ISNUMBER(J308),ISNUMBER(J309)),(J309-J308)/($C309-$C308),"")</f>
        <v>0</v>
      </c>
      <c r="U308" s="14" t="n">
        <f aca="false">IF(AND($A308=$A309,ISNUMBER(N308),ISNUMBER(N309)),(N309-N308)/($C309-$C308),"")</f>
        <v>0</v>
      </c>
      <c r="V308" s="13" t="n">
        <f aca="false">IF(ISNUMBER(F308),ROUND(F308,0),"")</f>
        <v>100</v>
      </c>
      <c r="W308" s="13" t="n">
        <f aca="false">IF(ISNUMBER(J308),ROUND(J308,0),"")</f>
        <v>100</v>
      </c>
      <c r="X308" s="13" t="n">
        <f aca="false">IF(ISNUMBER(N308),ROUND(N308,0),"")</f>
        <v>100</v>
      </c>
      <c r="Y308" s="10" t="str">
        <f aca="false">IF(AND($A308=$A309,V308=100,V309=100),"full access","")</f>
        <v>full access</v>
      </c>
      <c r="Z308" s="10" t="str">
        <f aca="false">IF(AND($A308=$A309,W308=100,W309=100),"full access","")</f>
        <v>full access</v>
      </c>
      <c r="AA308" s="10" t="str">
        <f aca="false">IF(AND($A308=$A309,X308=100,X309=100),"full access","")</f>
        <v>full access</v>
      </c>
      <c r="AB308" s="14" t="n">
        <f aca="false">IF(AND(ISNUMBER(T308),ISNUMBER(U308)),T308-U308,"")</f>
        <v>0</v>
      </c>
    </row>
    <row r="309" customFormat="false" ht="15" hidden="false" customHeight="false" outlineLevel="0" collapsed="false">
      <c r="A309" s="10" t="s">
        <v>236</v>
      </c>
      <c r="B309" s="10" t="str">
        <f aca="false">IFERROR(INDEX('Region Lookup'!$B$2:$B$233,MATCH(A309,'Region Lookup'!$A$2:$A$233,0)),"Not found")</f>
        <v>Europe &amp; Central Asia</v>
      </c>
      <c r="C309" s="10" t="n">
        <v>2020</v>
      </c>
      <c r="D309" s="11" t="n">
        <v>5421.242188</v>
      </c>
      <c r="E309" s="12" t="n">
        <v>82.97399139</v>
      </c>
      <c r="F309" s="12" t="n">
        <v>99.9999955</v>
      </c>
      <c r="G309" s="12" t="n">
        <v>0</v>
      </c>
      <c r="H309" s="12" t="n">
        <v>4.503407453E-006</v>
      </c>
      <c r="I309" s="12" t="n">
        <v>0</v>
      </c>
      <c r="J309" s="12" t="n">
        <v>100</v>
      </c>
      <c r="K309" s="12" t="n">
        <v>0</v>
      </c>
      <c r="L309" s="12" t="n">
        <v>0</v>
      </c>
      <c r="M309" s="12" t="n">
        <v>0</v>
      </c>
      <c r="N309" s="12" t="n">
        <v>100</v>
      </c>
      <c r="O309" s="12" t="n">
        <v>0</v>
      </c>
      <c r="P309" s="12" t="n">
        <v>0</v>
      </c>
      <c r="Q309" s="12" t="n">
        <v>0</v>
      </c>
      <c r="R309" s="13" t="str">
        <f aca="false">IF($A309=$A310,$C310-$C309,"")</f>
        <v/>
      </c>
      <c r="S309" s="14" t="str">
        <f aca="false">IF(AND($A309=$A310,ISNUMBER(F309),ISNUMBER(F310)),(F310-F309)/($C310-$C309),"")</f>
        <v/>
      </c>
      <c r="T309" s="14" t="str">
        <f aca="false">IF(AND($A309=$A310,ISNUMBER(J309),ISNUMBER(J310)),(J310-J309)/($C310-$C309),"")</f>
        <v/>
      </c>
      <c r="U309" s="14" t="str">
        <f aca="false">IF(AND($A309=$A310,ISNUMBER(N309),ISNUMBER(N310)),(N310-N309)/($C310-$C309),"")</f>
        <v/>
      </c>
      <c r="V309" s="13" t="n">
        <f aca="false">IF(ISNUMBER(F309),ROUND(F309,0),"")</f>
        <v>100</v>
      </c>
      <c r="W309" s="13" t="n">
        <f aca="false">IF(ISNUMBER(J309),ROUND(J309,0),"")</f>
        <v>100</v>
      </c>
      <c r="X309" s="13" t="n">
        <f aca="false">IF(ISNUMBER(N309),ROUND(N309,0),"")</f>
        <v>100</v>
      </c>
      <c r="Y309" s="10" t="str">
        <f aca="false">IF(AND($A309=$A310,V309=100,V310=100),"full access","")</f>
        <v/>
      </c>
      <c r="Z309" s="10" t="str">
        <f aca="false">IF(AND($A309=$A310,W309=100,W310=100),"full access","")</f>
        <v/>
      </c>
      <c r="AA309" s="10" t="str">
        <f aca="false">IF(AND($A309=$A310,X309=100,X310=100),"full access","")</f>
        <v/>
      </c>
      <c r="AB309" s="14" t="str">
        <f aca="false">IF(AND(ISNUMBER(T309),ISNUMBER(U309)),T309-U309,"")</f>
        <v/>
      </c>
    </row>
    <row r="310" customFormat="false" ht="15" hidden="false" customHeight="false" outlineLevel="0" collapsed="false">
      <c r="A310" s="4" t="s">
        <v>237</v>
      </c>
      <c r="B310" s="4" t="str">
        <f aca="false">IFERROR(INDEX('Region Lookup'!$B$2:$B$233,MATCH(A310,'Region Lookup'!$A$2:$A$233,0)),"Not found")</f>
        <v>Middle East &amp; North Africa</v>
      </c>
      <c r="C310" s="4" t="n">
        <v>2015</v>
      </c>
      <c r="D310" s="6" t="n">
        <v>4267.34082</v>
      </c>
      <c r="E310" s="7" t="n">
        <v>81.34999847</v>
      </c>
      <c r="F310" s="7" t="n">
        <v>90.23848564</v>
      </c>
      <c r="G310" s="7" t="n">
        <v>8.208802788</v>
      </c>
      <c r="H310" s="7" t="n">
        <v>1.473142599</v>
      </c>
      <c r="I310" s="7" t="n">
        <v>0.0795689751</v>
      </c>
      <c r="J310" s="7" t="n">
        <v>74.36690846</v>
      </c>
      <c r="K310" s="7" t="n">
        <v>21.09767236</v>
      </c>
      <c r="L310" s="7" t="n">
        <v>4.386731832</v>
      </c>
      <c r="M310" s="7" t="n">
        <v>0.1486873508</v>
      </c>
      <c r="N310" s="7" t="n">
        <v>93.87714508</v>
      </c>
      <c r="O310" s="7" t="n">
        <v>5.253947929</v>
      </c>
      <c r="P310" s="7" t="n">
        <v>0.8051838421</v>
      </c>
      <c r="Q310" s="7" t="n">
        <v>0.06372315036</v>
      </c>
      <c r="R310" s="8" t="n">
        <f aca="false">IF($A310=$A311,$C311-$C310,"")</f>
        <v>5</v>
      </c>
      <c r="S310" s="9" t="n">
        <f aca="false">IF(AND($A310=$A311,ISNUMBER(F310),ISNUMBER(F311)),(F311-F310)/($C311-$C310),"")</f>
        <v>0.385907810000001</v>
      </c>
      <c r="T310" s="9" t="n">
        <f aca="false">IF(AND($A310=$A311,ISNUMBER(J310),ISNUMBER(J311)),(J311-J310)/($C311-$C310),"")</f>
        <v>0.37677429</v>
      </c>
      <c r="U310" s="9" t="n">
        <f aca="false">IF(AND($A310=$A311,ISNUMBER(N310),ISNUMBER(N311)),(N311-N310)/($C311-$C310),"")</f>
        <v>0.164570984</v>
      </c>
      <c r="V310" s="8" t="n">
        <f aca="false">IF(ISNUMBER(F310),ROUND(F310,0),"")</f>
        <v>90</v>
      </c>
      <c r="W310" s="8" t="n">
        <f aca="false">IF(ISNUMBER(J310),ROUND(J310,0),"")</f>
        <v>74</v>
      </c>
      <c r="X310" s="8" t="n">
        <f aca="false">IF(ISNUMBER(N310),ROUND(N310,0),"")</f>
        <v>94</v>
      </c>
      <c r="Y310" s="4" t="str">
        <f aca="false">IF(AND($A310=$A311,V310=100,V311=100),"full access","")</f>
        <v/>
      </c>
      <c r="Z310" s="4" t="str">
        <f aca="false">IF(AND($A310=$A311,W310=100,W311=100),"full access","")</f>
        <v/>
      </c>
      <c r="AA310" s="4" t="str">
        <f aca="false">IF(AND($A310=$A311,X310=100,X311=100),"full access","")</f>
        <v/>
      </c>
      <c r="AB310" s="9" t="n">
        <f aca="false">IF(AND(ISNUMBER(T310),ISNUMBER(U310)),T310-U310,"")</f>
        <v>0.212203306000001</v>
      </c>
    </row>
    <row r="311" customFormat="false" ht="15" hidden="false" customHeight="false" outlineLevel="0" collapsed="false">
      <c r="A311" s="4" t="s">
        <v>237</v>
      </c>
      <c r="B311" s="4" t="str">
        <f aca="false">IFERROR(INDEX('Region Lookup'!$B$2:$B$233,MATCH(A311,'Region Lookup'!$A$2:$A$233,0)),"Not found")</f>
        <v>Middle East &amp; North Africa</v>
      </c>
      <c r="C311" s="4" t="n">
        <v>2020</v>
      </c>
      <c r="D311" s="6" t="n">
        <v>5106.62207</v>
      </c>
      <c r="E311" s="7" t="n">
        <v>86.27599335</v>
      </c>
      <c r="F311" s="7" t="n">
        <v>92.16802469</v>
      </c>
      <c r="G311" s="7" t="n">
        <v>7.541419893</v>
      </c>
      <c r="H311" s="7" t="n">
        <v>0.2604052036</v>
      </c>
      <c r="I311" s="7" t="n">
        <v>0.03015021745</v>
      </c>
      <c r="J311" s="7" t="n">
        <v>76.25077991</v>
      </c>
      <c r="K311" s="7" t="n">
        <v>21.63212113</v>
      </c>
      <c r="L311" s="7" t="n">
        <v>1.897409218</v>
      </c>
      <c r="M311" s="7" t="n">
        <v>0.2196897375</v>
      </c>
      <c r="N311" s="7" t="n">
        <v>94.7</v>
      </c>
      <c r="O311" s="7" t="n">
        <v>5.3</v>
      </c>
      <c r="P311" s="7" t="n">
        <v>0</v>
      </c>
      <c r="Q311" s="7" t="n">
        <v>0</v>
      </c>
      <c r="R311" s="8" t="str">
        <f aca="false">IF($A311=$A312,$C312-$C311,"")</f>
        <v/>
      </c>
      <c r="S311" s="9" t="str">
        <f aca="false">IF(AND($A311=$A312,ISNUMBER(F311),ISNUMBER(F312)),(F312-F311)/($C312-$C311),"")</f>
        <v/>
      </c>
      <c r="T311" s="9" t="str">
        <f aca="false">IF(AND($A311=$A312,ISNUMBER(J311),ISNUMBER(J312)),(J312-J311)/($C312-$C311),"")</f>
        <v/>
      </c>
      <c r="U311" s="9" t="str">
        <f aca="false">IF(AND($A311=$A312,ISNUMBER(N311),ISNUMBER(N312)),(N312-N311)/($C312-$C311),"")</f>
        <v/>
      </c>
      <c r="V311" s="8" t="n">
        <f aca="false">IF(ISNUMBER(F311),ROUND(F311,0),"")</f>
        <v>92</v>
      </c>
      <c r="W311" s="8" t="n">
        <f aca="false">IF(ISNUMBER(J311),ROUND(J311,0),"")</f>
        <v>76</v>
      </c>
      <c r="X311" s="8" t="n">
        <f aca="false">IF(ISNUMBER(N311),ROUND(N311,0),"")</f>
        <v>95</v>
      </c>
      <c r="Y311" s="4" t="str">
        <f aca="false">IF(AND($A311=$A312,V311=100,V312=100),"full access","")</f>
        <v/>
      </c>
      <c r="Z311" s="4" t="str">
        <f aca="false">IF(AND($A311=$A312,W311=100,W312=100),"full access","")</f>
        <v/>
      </c>
      <c r="AA311" s="4" t="str">
        <f aca="false">IF(AND($A311=$A312,X311=100,X312=100),"full access","")</f>
        <v/>
      </c>
      <c r="AB311" s="9" t="str">
        <f aca="false">IF(AND(ISNUMBER(T311),ISNUMBER(U311)),T311-U311,"")</f>
        <v/>
      </c>
    </row>
    <row r="312" customFormat="false" ht="15" hidden="false" customHeight="false" outlineLevel="0" collapsed="false">
      <c r="A312" s="10" t="s">
        <v>238</v>
      </c>
      <c r="B312" s="10" t="str">
        <f aca="false">IFERROR(INDEX('Region Lookup'!$B$2:$B$233,MATCH(A312,'Region Lookup'!$A$2:$A$233,0)),"Not found")</f>
        <v>South Asia</v>
      </c>
      <c r="C312" s="10" t="n">
        <v>2015</v>
      </c>
      <c r="D312" s="11" t="n">
        <v>199426.9531</v>
      </c>
      <c r="E312" s="12" t="n">
        <v>36.02600098</v>
      </c>
      <c r="F312" s="12" t="n">
        <v>89.45498234</v>
      </c>
      <c r="G312" s="12" t="n">
        <v>3.65595302</v>
      </c>
      <c r="H312" s="12" t="n">
        <v>4.42169119</v>
      </c>
      <c r="I312" s="12" t="n">
        <v>2.467373447</v>
      </c>
      <c r="J312" s="12" t="n">
        <v>87.15095676</v>
      </c>
      <c r="K312" s="12" t="n">
        <v>3.956563839</v>
      </c>
      <c r="L312" s="12" t="n">
        <v>5.236412879</v>
      </c>
      <c r="M312" s="12" t="n">
        <v>3.656066523</v>
      </c>
      <c r="N312" s="12" t="n">
        <v>93.54640884</v>
      </c>
      <c r="O312" s="12" t="n">
        <v>3.122136433</v>
      </c>
      <c r="P312" s="12" t="n">
        <v>2.974930389</v>
      </c>
      <c r="Q312" s="12" t="n">
        <v>0.35652434</v>
      </c>
      <c r="R312" s="13" t="n">
        <f aca="false">IF($A312=$A313,$C313-$C312,"")</f>
        <v>5</v>
      </c>
      <c r="S312" s="14" t="n">
        <f aca="false">IF(AND($A312=$A313,ISNUMBER(F312),ISNUMBER(F313)),(F313-F312)/($C313-$C312),"")</f>
        <v>0.138796547999999</v>
      </c>
      <c r="T312" s="14" t="n">
        <f aca="false">IF(AND($A312=$A313,ISNUMBER(J312),ISNUMBER(J313)),(J313-J312)/($C313-$C312),"")</f>
        <v>0.2897808</v>
      </c>
      <c r="U312" s="14" t="n">
        <f aca="false">IF(AND($A312=$A313,ISNUMBER(N312),ISNUMBER(N313)),(N313-N312)/($C313-$C312),"")</f>
        <v>-0.155671798</v>
      </c>
      <c r="V312" s="13" t="n">
        <f aca="false">IF(ISNUMBER(F312),ROUND(F312,0),"")</f>
        <v>89</v>
      </c>
      <c r="W312" s="13" t="n">
        <f aca="false">IF(ISNUMBER(J312),ROUND(J312,0),"")</f>
        <v>87</v>
      </c>
      <c r="X312" s="13" t="n">
        <f aca="false">IF(ISNUMBER(N312),ROUND(N312,0),"")</f>
        <v>94</v>
      </c>
      <c r="Y312" s="10" t="str">
        <f aca="false">IF(AND($A312=$A313,V312=100,V313=100),"full access","")</f>
        <v/>
      </c>
      <c r="Z312" s="10" t="str">
        <f aca="false">IF(AND($A312=$A313,W312=100,W313=100),"full access","")</f>
        <v/>
      </c>
      <c r="AA312" s="10" t="str">
        <f aca="false">IF(AND($A312=$A313,X312=100,X313=100),"full access","")</f>
        <v/>
      </c>
      <c r="AB312" s="14" t="n">
        <f aca="false">IF(AND(ISNUMBER(T312),ISNUMBER(U312)),T312-U312,"")</f>
        <v>0.445452598</v>
      </c>
    </row>
    <row r="313" customFormat="false" ht="15" hidden="false" customHeight="false" outlineLevel="0" collapsed="false">
      <c r="A313" s="10" t="s">
        <v>238</v>
      </c>
      <c r="B313" s="10" t="str">
        <f aca="false">IFERROR(INDEX('Region Lookup'!$B$2:$B$233,MATCH(A313,'Region Lookup'!$A$2:$A$233,0)),"Not found")</f>
        <v>South Asia</v>
      </c>
      <c r="C313" s="10" t="n">
        <v>2020</v>
      </c>
      <c r="D313" s="11" t="n">
        <v>220892.3281</v>
      </c>
      <c r="E313" s="12" t="n">
        <v>37.16500092</v>
      </c>
      <c r="F313" s="12" t="n">
        <v>90.14896508</v>
      </c>
      <c r="G313" s="12" t="n">
        <v>3.822279525</v>
      </c>
      <c r="H313" s="12" t="n">
        <v>4.413307574</v>
      </c>
      <c r="I313" s="12" t="n">
        <v>1.61544782</v>
      </c>
      <c r="J313" s="12" t="n">
        <v>88.59986076</v>
      </c>
      <c r="K313" s="12" t="n">
        <v>3.852278117</v>
      </c>
      <c r="L313" s="12" t="n">
        <v>5.174596509</v>
      </c>
      <c r="M313" s="12" t="n">
        <v>2.373264617</v>
      </c>
      <c r="N313" s="12" t="n">
        <v>92.76804985</v>
      </c>
      <c r="O313" s="12" t="n">
        <v>3.771561162</v>
      </c>
      <c r="P313" s="12" t="n">
        <v>3.126184571</v>
      </c>
      <c r="Q313" s="12" t="n">
        <v>0.3342044223</v>
      </c>
      <c r="R313" s="13" t="str">
        <f aca="false">IF($A313=$A314,$C314-$C313,"")</f>
        <v/>
      </c>
      <c r="S313" s="14" t="str">
        <f aca="false">IF(AND($A313=$A314,ISNUMBER(F313),ISNUMBER(F314)),(F314-F313)/($C314-$C313),"")</f>
        <v/>
      </c>
      <c r="T313" s="14" t="str">
        <f aca="false">IF(AND($A313=$A314,ISNUMBER(J313),ISNUMBER(J314)),(J314-J313)/($C314-$C313),"")</f>
        <v/>
      </c>
      <c r="U313" s="14" t="str">
        <f aca="false">IF(AND($A313=$A314,ISNUMBER(N313),ISNUMBER(N314)),(N314-N313)/($C314-$C313),"")</f>
        <v/>
      </c>
      <c r="V313" s="13" t="n">
        <f aca="false">IF(ISNUMBER(F313),ROUND(F313,0),"")</f>
        <v>90</v>
      </c>
      <c r="W313" s="13" t="n">
        <f aca="false">IF(ISNUMBER(J313),ROUND(J313,0),"")</f>
        <v>89</v>
      </c>
      <c r="X313" s="13" t="n">
        <f aca="false">IF(ISNUMBER(N313),ROUND(N313,0),"")</f>
        <v>93</v>
      </c>
      <c r="Y313" s="10" t="str">
        <f aca="false">IF(AND($A313=$A314,V313=100,V314=100),"full access","")</f>
        <v/>
      </c>
      <c r="Z313" s="10" t="str">
        <f aca="false">IF(AND($A313=$A314,W313=100,W314=100),"full access","")</f>
        <v/>
      </c>
      <c r="AA313" s="10" t="str">
        <f aca="false">IF(AND($A313=$A314,X313=100,X314=100),"full access","")</f>
        <v/>
      </c>
      <c r="AB313" s="14" t="str">
        <f aca="false">IF(AND(ISNUMBER(T313),ISNUMBER(U313)),T313-U313,"")</f>
        <v/>
      </c>
    </row>
    <row r="314" customFormat="false" ht="15" hidden="false" customHeight="false" outlineLevel="0" collapsed="false">
      <c r="A314" s="4" t="s">
        <v>239</v>
      </c>
      <c r="B314" s="4" t="str">
        <f aca="false">IFERROR(INDEX('Region Lookup'!$B$2:$B$233,MATCH(A314,'Region Lookup'!$A$2:$A$233,0)),"Not found")</f>
        <v>East Asia &amp; Pacific</v>
      </c>
      <c r="C314" s="4" t="n">
        <v>2015</v>
      </c>
      <c r="D314" s="6" t="n">
        <v>17.66500092</v>
      </c>
      <c r="E314" s="7" t="n">
        <v>78.15899658</v>
      </c>
      <c r="F314" s="7" t="n">
        <v>99.63015085</v>
      </c>
      <c r="G314" s="7" t="n">
        <v>0</v>
      </c>
      <c r="H314" s="7" t="n">
        <v>0.3698491499</v>
      </c>
      <c r="I314" s="7" t="n">
        <v>0</v>
      </c>
      <c r="J314" s="7" t="n">
        <v>99.61387148</v>
      </c>
      <c r="K314" s="7" t="n">
        <v>0</v>
      </c>
      <c r="L314" s="7" t="n">
        <v>0.3861285173</v>
      </c>
      <c r="M314" s="7" t="n">
        <v>0</v>
      </c>
      <c r="N314" s="7" t="n">
        <v>99.63470173</v>
      </c>
      <c r="O314" s="7" t="n">
        <v>0</v>
      </c>
      <c r="P314" s="7" t="n">
        <v>0.3652982706</v>
      </c>
      <c r="Q314" s="7" t="n">
        <v>0</v>
      </c>
      <c r="R314" s="8" t="n">
        <f aca="false">IF($A314=$A315,$C315-$C314,"")</f>
        <v>5</v>
      </c>
      <c r="S314" s="9" t="n">
        <f aca="false">IF(AND($A314=$A315,ISNUMBER(F314),ISNUMBER(F315)),(F315-F314)/($C315-$C314),"")</f>
        <v>0.00547892999999817</v>
      </c>
      <c r="T314" s="9" t="n">
        <f aca="false">IF(AND($A314=$A315,ISNUMBER(J314),ISNUMBER(J315)),(J315-J314)/($C315-$C314),"")</f>
        <v>0.0286227099999991</v>
      </c>
      <c r="U314" s="9" t="n">
        <f aca="false">IF(AND($A314=$A315,ISNUMBER(N314),ISNUMBER(N315)),(N315-N314)/($C315-$C314),"")</f>
        <v>-9.99480000018593E-005</v>
      </c>
      <c r="V314" s="8" t="n">
        <f aca="false">IF(ISNUMBER(F314),ROUND(F314,0),"")</f>
        <v>100</v>
      </c>
      <c r="W314" s="8" t="n">
        <f aca="false">IF(ISNUMBER(J314),ROUND(J314,0),"")</f>
        <v>100</v>
      </c>
      <c r="X314" s="8" t="n">
        <f aca="false">IF(ISNUMBER(N314),ROUND(N314,0),"")</f>
        <v>100</v>
      </c>
      <c r="Y314" s="4" t="str">
        <f aca="false">IF(AND($A314=$A315,V314=100,V315=100),"full access","")</f>
        <v>full access</v>
      </c>
      <c r="Z314" s="4" t="str">
        <f aca="false">IF(AND($A314=$A315,W314=100,W315=100),"full access","")</f>
        <v>full access</v>
      </c>
      <c r="AA314" s="4" t="str">
        <f aca="false">IF(AND($A314=$A315,X314=100,X315=100),"full access","")</f>
        <v>full access</v>
      </c>
      <c r="AB314" s="9" t="n">
        <f aca="false">IF(AND(ISNUMBER(T314),ISNUMBER(U314)),T314-U314,"")</f>
        <v>0.0287226580000009</v>
      </c>
    </row>
    <row r="315" customFormat="false" ht="15" hidden="false" customHeight="false" outlineLevel="0" collapsed="false">
      <c r="A315" s="4" t="s">
        <v>239</v>
      </c>
      <c r="B315" s="4" t="str">
        <f aca="false">IFERROR(INDEX('Region Lookup'!$B$2:$B$233,MATCH(A315,'Region Lookup'!$A$2:$A$233,0)),"Not found")</f>
        <v>East Asia &amp; Pacific</v>
      </c>
      <c r="C315" s="4" t="n">
        <v>2020</v>
      </c>
      <c r="D315" s="6" t="n">
        <v>18.09199905</v>
      </c>
      <c r="E315" s="7" t="n">
        <v>80.98799896</v>
      </c>
      <c r="F315" s="7" t="n">
        <v>99.6575455</v>
      </c>
      <c r="G315" s="7" t="n">
        <v>0</v>
      </c>
      <c r="H315" s="7" t="n">
        <v>0.3424544984</v>
      </c>
      <c r="I315" s="7" t="n">
        <v>0</v>
      </c>
      <c r="J315" s="7" t="n">
        <v>99.75698503</v>
      </c>
      <c r="K315" s="7" t="n">
        <v>0</v>
      </c>
      <c r="L315" s="7" t="n">
        <v>0.2430149677</v>
      </c>
      <c r="M315" s="7" t="n">
        <v>0</v>
      </c>
      <c r="N315" s="7" t="n">
        <v>99.63420199</v>
      </c>
      <c r="O315" s="7" t="n">
        <v>0</v>
      </c>
      <c r="P315" s="7" t="n">
        <v>0.3657980078</v>
      </c>
      <c r="Q315" s="7" t="n">
        <v>0</v>
      </c>
      <c r="R315" s="8" t="str">
        <f aca="false">IF($A315=$A316,$C316-$C315,"")</f>
        <v/>
      </c>
      <c r="S315" s="9" t="str">
        <f aca="false">IF(AND($A315=$A316,ISNUMBER(F315),ISNUMBER(F316)),(F316-F315)/($C316-$C315),"")</f>
        <v/>
      </c>
      <c r="T315" s="9" t="str">
        <f aca="false">IF(AND($A315=$A316,ISNUMBER(J315),ISNUMBER(J316)),(J316-J315)/($C316-$C315),"")</f>
        <v/>
      </c>
      <c r="U315" s="9" t="str">
        <f aca="false">IF(AND($A315=$A316,ISNUMBER(N315),ISNUMBER(N316)),(N316-N315)/($C316-$C315),"")</f>
        <v/>
      </c>
      <c r="V315" s="8" t="n">
        <f aca="false">IF(ISNUMBER(F315),ROUND(F315,0),"")</f>
        <v>100</v>
      </c>
      <c r="W315" s="8" t="n">
        <f aca="false">IF(ISNUMBER(J315),ROUND(J315,0),"")</f>
        <v>100</v>
      </c>
      <c r="X315" s="8" t="n">
        <f aca="false">IF(ISNUMBER(N315),ROUND(N315,0),"")</f>
        <v>100</v>
      </c>
      <c r="Y315" s="4" t="str">
        <f aca="false">IF(AND($A315=$A316,V315=100,V316=100),"full access","")</f>
        <v/>
      </c>
      <c r="Z315" s="4" t="str">
        <f aca="false">IF(AND($A315=$A316,W315=100,W316=100),"full access","")</f>
        <v/>
      </c>
      <c r="AA315" s="4" t="str">
        <f aca="false">IF(AND($A315=$A316,X315=100,X316=100),"full access","")</f>
        <v/>
      </c>
      <c r="AB315" s="9" t="str">
        <f aca="false">IF(AND(ISNUMBER(T315),ISNUMBER(U315)),T315-U315,"")</f>
        <v/>
      </c>
    </row>
    <row r="316" customFormat="false" ht="15" hidden="false" customHeight="false" outlineLevel="0" collapsed="false">
      <c r="A316" s="10" t="s">
        <v>240</v>
      </c>
      <c r="B316" s="10" t="str">
        <f aca="false">IFERROR(INDEX('Region Lookup'!$B$2:$B$233,MATCH(A316,'Region Lookup'!$A$2:$A$233,0)),"Not found")</f>
        <v>Latin America &amp; Caribbean</v>
      </c>
      <c r="C316" s="10" t="n">
        <v>2015</v>
      </c>
      <c r="D316" s="11" t="n">
        <v>3968.48999</v>
      </c>
      <c r="E316" s="12" t="n">
        <v>66.69599915</v>
      </c>
      <c r="F316" s="12" t="n">
        <v>92.90436561</v>
      </c>
      <c r="G316" s="12" t="n">
        <v>1.845644171</v>
      </c>
      <c r="H316" s="12" t="n">
        <v>3.160016841</v>
      </c>
      <c r="I316" s="12" t="n">
        <v>2.08997338</v>
      </c>
      <c r="J316" s="12" t="n">
        <v>83.67957953</v>
      </c>
      <c r="K316" s="12" t="n">
        <v>1.737106037</v>
      </c>
      <c r="L316" s="12" t="n">
        <v>8.379298168</v>
      </c>
      <c r="M316" s="12" t="n">
        <v>6.20401626</v>
      </c>
      <c r="N316" s="12" t="n">
        <v>97.51067739</v>
      </c>
      <c r="O316" s="12" t="n">
        <v>1.899841721</v>
      </c>
      <c r="P316" s="12" t="n">
        <v>0.5538148391</v>
      </c>
      <c r="Q316" s="12" t="n">
        <v>0.03566604616</v>
      </c>
      <c r="R316" s="13" t="n">
        <f aca="false">IF($A316=$A317,$C317-$C316,"")</f>
        <v>5</v>
      </c>
      <c r="S316" s="14" t="n">
        <f aca="false">IF(AND($A316=$A317,ISNUMBER(F316),ISNUMBER(F317)),(F317-F316)/($C317-$C316),"")</f>
        <v>0.293635750000001</v>
      </c>
      <c r="T316" s="14" t="n">
        <f aca="false">IF(AND($A316=$A317,ISNUMBER(J316),ISNUMBER(J317)),(J317-J316)/($C317-$C316),"")</f>
        <v>0.528700746000001</v>
      </c>
      <c r="U316" s="14" t="n">
        <f aca="false">IF(AND($A316=$A317,ISNUMBER(N316),ISNUMBER(N317)),(N317-N316)/($C317-$C316),"")</f>
        <v>0.115643056000002</v>
      </c>
      <c r="V316" s="13" t="n">
        <f aca="false">IF(ISNUMBER(F316),ROUND(F316,0),"")</f>
        <v>93</v>
      </c>
      <c r="W316" s="13" t="n">
        <f aca="false">IF(ISNUMBER(J316),ROUND(J316,0),"")</f>
        <v>84</v>
      </c>
      <c r="X316" s="13" t="n">
        <f aca="false">IF(ISNUMBER(N316),ROUND(N316,0),"")</f>
        <v>98</v>
      </c>
      <c r="Y316" s="10" t="str">
        <f aca="false">IF(AND($A316=$A317,V316=100,V317=100),"full access","")</f>
        <v/>
      </c>
      <c r="Z316" s="10" t="str">
        <f aca="false">IF(AND($A316=$A317,W316=100,W317=100),"full access","")</f>
        <v/>
      </c>
      <c r="AA316" s="10" t="str">
        <f aca="false">IF(AND($A316=$A317,X316=100,X317=100),"full access","")</f>
        <v/>
      </c>
      <c r="AB316" s="14" t="n">
        <f aca="false">IF(AND(ISNUMBER(T316),ISNUMBER(U316)),T316-U316,"")</f>
        <v>0.41305769</v>
      </c>
    </row>
    <row r="317" customFormat="false" ht="15" hidden="false" customHeight="false" outlineLevel="0" collapsed="false">
      <c r="A317" s="10" t="s">
        <v>240</v>
      </c>
      <c r="B317" s="10" t="str">
        <f aca="false">IFERROR(INDEX('Region Lookup'!$B$2:$B$233,MATCH(A317,'Region Lookup'!$A$2:$A$233,0)),"Not found")</f>
        <v>Latin America &amp; Caribbean</v>
      </c>
      <c r="C317" s="10" t="n">
        <v>2020</v>
      </c>
      <c r="D317" s="11" t="n">
        <v>4314.768066</v>
      </c>
      <c r="E317" s="12" t="n">
        <v>68.41400146</v>
      </c>
      <c r="F317" s="12" t="n">
        <v>94.37254436</v>
      </c>
      <c r="G317" s="12" t="n">
        <v>1.873480592</v>
      </c>
      <c r="H317" s="12" t="n">
        <v>2.262304247</v>
      </c>
      <c r="I317" s="12" t="n">
        <v>1.491670799</v>
      </c>
      <c r="J317" s="12" t="n">
        <v>86.32308326</v>
      </c>
      <c r="K317" s="12" t="n">
        <v>1.791982583</v>
      </c>
      <c r="L317" s="12" t="n">
        <v>7.162364342</v>
      </c>
      <c r="M317" s="12" t="n">
        <v>4.722569811</v>
      </c>
      <c r="N317" s="12" t="n">
        <v>98.08889267</v>
      </c>
      <c r="O317" s="12" t="n">
        <v>1.911107333</v>
      </c>
      <c r="P317" s="12" t="n">
        <v>0</v>
      </c>
      <c r="Q317" s="12" t="n">
        <v>0</v>
      </c>
      <c r="R317" s="13" t="str">
        <f aca="false">IF($A317=$A318,$C318-$C317,"")</f>
        <v/>
      </c>
      <c r="S317" s="14" t="str">
        <f aca="false">IF(AND($A317=$A318,ISNUMBER(F317),ISNUMBER(F318)),(F318-F317)/($C318-$C317),"")</f>
        <v/>
      </c>
      <c r="T317" s="14" t="str">
        <f aca="false">IF(AND($A317=$A318,ISNUMBER(J317),ISNUMBER(J318)),(J318-J317)/($C318-$C317),"")</f>
        <v/>
      </c>
      <c r="U317" s="14" t="str">
        <f aca="false">IF(AND($A317=$A318,ISNUMBER(N317),ISNUMBER(N318)),(N318-N317)/($C318-$C317),"")</f>
        <v/>
      </c>
      <c r="V317" s="13" t="n">
        <f aca="false">IF(ISNUMBER(F317),ROUND(F317,0),"")</f>
        <v>94</v>
      </c>
      <c r="W317" s="13" t="n">
        <f aca="false">IF(ISNUMBER(J317),ROUND(J317,0),"")</f>
        <v>86</v>
      </c>
      <c r="X317" s="13" t="n">
        <f aca="false">IF(ISNUMBER(N317),ROUND(N317,0),"")</f>
        <v>98</v>
      </c>
      <c r="Y317" s="10" t="str">
        <f aca="false">IF(AND($A317=$A318,V317=100,V318=100),"full access","")</f>
        <v/>
      </c>
      <c r="Z317" s="10" t="str">
        <f aca="false">IF(AND($A317=$A318,W317=100,W318=100),"full access","")</f>
        <v/>
      </c>
      <c r="AA317" s="10" t="str">
        <f aca="false">IF(AND($A317=$A318,X317=100,X318=100),"full access","")</f>
        <v/>
      </c>
      <c r="AB317" s="14" t="str">
        <f aca="false">IF(AND(ISNUMBER(T317),ISNUMBER(U317)),T317-U317,"")</f>
        <v/>
      </c>
    </row>
    <row r="318" customFormat="false" ht="15" hidden="false" customHeight="false" outlineLevel="0" collapsed="false">
      <c r="A318" s="4" t="s">
        <v>241</v>
      </c>
      <c r="B318" s="4" t="str">
        <f aca="false">IFERROR(INDEX('Region Lookup'!$B$2:$B$233,MATCH(A318,'Region Lookup'!$A$2:$A$233,0)),"Not found")</f>
        <v>East Asia &amp; Pacific</v>
      </c>
      <c r="C318" s="4" t="n">
        <v>2015</v>
      </c>
      <c r="D318" s="6" t="n">
        <v>8107.771973</v>
      </c>
      <c r="E318" s="7" t="n">
        <v>13.01200008</v>
      </c>
      <c r="F318" s="7" t="n">
        <v>41.48550844</v>
      </c>
      <c r="G318" s="7" t="n">
        <v>1.80995308</v>
      </c>
      <c r="H318" s="7" t="n">
        <v>21.261052</v>
      </c>
      <c r="I318" s="7" t="n">
        <v>35.44348648</v>
      </c>
      <c r="J318" s="7" t="n">
        <v>34.990633</v>
      </c>
      <c r="K318" s="7" t="n">
        <v>1.804724433</v>
      </c>
      <c r="L318" s="7" t="n">
        <v>23.25354875</v>
      </c>
      <c r="M318" s="7" t="n">
        <v>39.95109382</v>
      </c>
      <c r="N318" s="7" t="n">
        <v>84.90514306</v>
      </c>
      <c r="O318" s="7" t="n">
        <v>1.844907912</v>
      </c>
      <c r="P318" s="7" t="n">
        <v>7.940776435</v>
      </c>
      <c r="Q318" s="7" t="n">
        <v>5.309172598</v>
      </c>
      <c r="R318" s="8" t="n">
        <f aca="false">IF($A318=$A319,$C319-$C318,"")</f>
        <v>5</v>
      </c>
      <c r="S318" s="9" t="n">
        <f aca="false">IF(AND($A318=$A319,ISNUMBER(F318),ISNUMBER(F319)),(F319-F318)/($C319-$C318),"")</f>
        <v>0.771701816000001</v>
      </c>
      <c r="T318" s="9" t="n">
        <f aca="false">IF(AND($A318=$A319,ISNUMBER(J318),ISNUMBER(J319)),(J319-J318)/($C319-$C318),"")</f>
        <v>0.816142133999999</v>
      </c>
      <c r="U318" s="9" t="n">
        <f aca="false">IF(AND($A318=$A319,ISNUMBER(N318),ISNUMBER(N319)),(N319-N318)/($C319-$C318),"")</f>
        <v>0.234025715999999</v>
      </c>
      <c r="V318" s="8" t="n">
        <f aca="false">IF(ISNUMBER(F318),ROUND(F318,0),"")</f>
        <v>41</v>
      </c>
      <c r="W318" s="8" t="n">
        <f aca="false">IF(ISNUMBER(J318),ROUND(J318,0),"")</f>
        <v>35</v>
      </c>
      <c r="X318" s="8" t="n">
        <f aca="false">IF(ISNUMBER(N318),ROUND(N318,0),"")</f>
        <v>85</v>
      </c>
      <c r="Y318" s="4" t="str">
        <f aca="false">IF(AND($A318=$A319,V318=100,V319=100),"full access","")</f>
        <v/>
      </c>
      <c r="Z318" s="4" t="str">
        <f aca="false">IF(AND($A318=$A319,W318=100,W319=100),"full access","")</f>
        <v/>
      </c>
      <c r="AA318" s="4" t="str">
        <f aca="false">IF(AND($A318=$A319,X318=100,X319=100),"full access","")</f>
        <v/>
      </c>
      <c r="AB318" s="9" t="n">
        <f aca="false">IF(AND(ISNUMBER(T318),ISNUMBER(U318)),T318-U318,"")</f>
        <v>0.582116418</v>
      </c>
    </row>
    <row r="319" customFormat="false" ht="15" hidden="false" customHeight="false" outlineLevel="0" collapsed="false">
      <c r="A319" s="4" t="s">
        <v>241</v>
      </c>
      <c r="B319" s="4" t="str">
        <f aca="false">IFERROR(INDEX('Region Lookup'!$B$2:$B$233,MATCH(A319,'Region Lookup'!$A$2:$A$233,0)),"Not found")</f>
        <v>East Asia &amp; Pacific</v>
      </c>
      <c r="C319" s="4" t="n">
        <v>2020</v>
      </c>
      <c r="D319" s="6" t="n">
        <v>8947.027344</v>
      </c>
      <c r="E319" s="7" t="n">
        <v>13.34500027</v>
      </c>
      <c r="F319" s="7" t="n">
        <v>45.34401752</v>
      </c>
      <c r="G319" s="7" t="n">
        <v>2.128564452</v>
      </c>
      <c r="H319" s="7" t="n">
        <v>22.15762495</v>
      </c>
      <c r="I319" s="7" t="n">
        <v>30.36979308</v>
      </c>
      <c r="J319" s="7" t="n">
        <v>39.07134367</v>
      </c>
      <c r="K319" s="7" t="n">
        <v>2.429850293</v>
      </c>
      <c r="L319" s="7" t="n">
        <v>24.43180086</v>
      </c>
      <c r="M319" s="7" t="n">
        <v>34.06700517</v>
      </c>
      <c r="N319" s="7" t="n">
        <v>86.07527164</v>
      </c>
      <c r="O319" s="7" t="n">
        <v>0.1721822608</v>
      </c>
      <c r="P319" s="7" t="n">
        <v>7.390385564</v>
      </c>
      <c r="Q319" s="7" t="n">
        <v>6.362160532</v>
      </c>
      <c r="R319" s="8" t="str">
        <f aca="false">IF($A319=$A320,$C320-$C319,"")</f>
        <v/>
      </c>
      <c r="S319" s="9" t="str">
        <f aca="false">IF(AND($A319=$A320,ISNUMBER(F319),ISNUMBER(F320)),(F320-F319)/($C320-$C319),"")</f>
        <v/>
      </c>
      <c r="T319" s="9" t="str">
        <f aca="false">IF(AND($A319=$A320,ISNUMBER(J319),ISNUMBER(J320)),(J320-J319)/($C320-$C319),"")</f>
        <v/>
      </c>
      <c r="U319" s="9" t="str">
        <f aca="false">IF(AND($A319=$A320,ISNUMBER(N319),ISNUMBER(N320)),(N320-N319)/($C320-$C319),"")</f>
        <v/>
      </c>
      <c r="V319" s="8" t="n">
        <f aca="false">IF(ISNUMBER(F319),ROUND(F319,0),"")</f>
        <v>45</v>
      </c>
      <c r="W319" s="8" t="n">
        <f aca="false">IF(ISNUMBER(J319),ROUND(J319,0),"")</f>
        <v>39</v>
      </c>
      <c r="X319" s="8" t="n">
        <f aca="false">IF(ISNUMBER(N319),ROUND(N319,0),"")</f>
        <v>86</v>
      </c>
      <c r="Y319" s="4" t="str">
        <f aca="false">IF(AND($A319=$A320,V319=100,V320=100),"full access","")</f>
        <v/>
      </c>
      <c r="Z319" s="4" t="str">
        <f aca="false">IF(AND($A319=$A320,W319=100,W320=100),"full access","")</f>
        <v/>
      </c>
      <c r="AA319" s="4" t="str">
        <f aca="false">IF(AND($A319=$A320,X319=100,X320=100),"full access","")</f>
        <v/>
      </c>
      <c r="AB319" s="9" t="str">
        <f aca="false">IF(AND(ISNUMBER(T319),ISNUMBER(U319)),T319-U319,"")</f>
        <v/>
      </c>
    </row>
    <row r="320" customFormat="false" ht="15" hidden="false" customHeight="false" outlineLevel="0" collapsed="false">
      <c r="A320" s="10" t="s">
        <v>242</v>
      </c>
      <c r="B320" s="10" t="str">
        <f aca="false">IFERROR(INDEX('Region Lookup'!$B$2:$B$233,MATCH(A320,'Region Lookup'!$A$2:$A$233,0)),"Not found")</f>
        <v>Latin America &amp; Caribbean</v>
      </c>
      <c r="C320" s="10" t="n">
        <v>2015</v>
      </c>
      <c r="D320" s="11" t="n">
        <v>6688.746094</v>
      </c>
      <c r="E320" s="12" t="n">
        <v>60.75</v>
      </c>
      <c r="F320" s="12" t="n">
        <v>96.83621453</v>
      </c>
      <c r="G320" s="12" t="n">
        <v>0.328424003</v>
      </c>
      <c r="H320" s="12" t="n">
        <v>2.756768199</v>
      </c>
      <c r="I320" s="12" t="n">
        <v>0.07859326698</v>
      </c>
      <c r="J320" s="12" t="n">
        <v>93.34470029</v>
      </c>
      <c r="K320" s="12" t="n">
        <v>0.6976664397</v>
      </c>
      <c r="L320" s="12" t="n">
        <v>5.757395646</v>
      </c>
      <c r="M320" s="12" t="n">
        <v>0.2002376288</v>
      </c>
      <c r="N320" s="12" t="n">
        <v>99.09204873</v>
      </c>
      <c r="O320" s="12" t="n">
        <v>0.08985997117</v>
      </c>
      <c r="P320" s="12" t="n">
        <v>0.818091301</v>
      </c>
      <c r="Q320" s="12" t="n">
        <v>0</v>
      </c>
      <c r="R320" s="13" t="n">
        <f aca="false">IF($A320=$A321,$C321-$C320,"")</f>
        <v>5</v>
      </c>
      <c r="S320" s="14" t="n">
        <f aca="false">IF(AND($A320=$A321,ISNUMBER(F320),ISNUMBER(F321)),(F321-F320)/($C321-$C320),"")</f>
        <v>0.551450359999998</v>
      </c>
      <c r="T320" s="14" t="n">
        <f aca="false">IF(AND($A320=$A321,ISNUMBER(J320),ISNUMBER(J321)),(J321-J320)/($C321-$C320),"")</f>
        <v>1.153305448</v>
      </c>
      <c r="U320" s="14" t="n">
        <f aca="false">IF(AND($A320=$A321,ISNUMBER(N320),ISNUMBER(N321)),(N321-N320)/($C321-$C320),"")</f>
        <v>0.158939961999999</v>
      </c>
      <c r="V320" s="13" t="n">
        <f aca="false">IF(ISNUMBER(F320),ROUND(F320,0),"")</f>
        <v>97</v>
      </c>
      <c r="W320" s="13" t="n">
        <f aca="false">IF(ISNUMBER(J320),ROUND(J320,0),"")</f>
        <v>93</v>
      </c>
      <c r="X320" s="13" t="n">
        <f aca="false">IF(ISNUMBER(N320),ROUND(N320,0),"")</f>
        <v>99</v>
      </c>
      <c r="Y320" s="10" t="str">
        <f aca="false">IF(AND($A320=$A321,V320=100,V321=100),"full access","")</f>
        <v/>
      </c>
      <c r="Z320" s="10" t="str">
        <f aca="false">IF(AND($A320=$A321,W320=100,W321=100),"full access","")</f>
        <v/>
      </c>
      <c r="AA320" s="10" t="str">
        <f aca="false">IF(AND($A320=$A321,X320=100,X321=100),"full access","")</f>
        <v/>
      </c>
      <c r="AB320" s="14" t="n">
        <f aca="false">IF(AND(ISNUMBER(T320),ISNUMBER(U320)),T320-U320,"")</f>
        <v>0.994365485999998</v>
      </c>
    </row>
    <row r="321" customFormat="false" ht="15" hidden="false" customHeight="false" outlineLevel="0" collapsed="false">
      <c r="A321" s="10" t="s">
        <v>242</v>
      </c>
      <c r="B321" s="10" t="str">
        <f aca="false">IFERROR(INDEX('Region Lookup'!$B$2:$B$233,MATCH(A321,'Region Lookup'!$A$2:$A$233,0)),"Not found")</f>
        <v>Latin America &amp; Caribbean</v>
      </c>
      <c r="C321" s="10" t="n">
        <v>2020</v>
      </c>
      <c r="D321" s="11" t="n">
        <v>7132.529785</v>
      </c>
      <c r="E321" s="12" t="n">
        <v>62.18299484</v>
      </c>
      <c r="F321" s="12" t="n">
        <v>99.59346633</v>
      </c>
      <c r="G321" s="12" t="n">
        <v>0.4065302439</v>
      </c>
      <c r="H321" s="12" t="n">
        <v>3.4229177E-006</v>
      </c>
      <c r="I321" s="12" t="n">
        <v>0</v>
      </c>
      <c r="J321" s="12" t="n">
        <v>99.11122753</v>
      </c>
      <c r="K321" s="12" t="n">
        <v>0.8887724684</v>
      </c>
      <c r="L321" s="12" t="n">
        <v>0</v>
      </c>
      <c r="M321" s="12" t="n">
        <v>0</v>
      </c>
      <c r="N321" s="12" t="n">
        <v>99.88674854</v>
      </c>
      <c r="O321" s="12" t="n">
        <v>0.1132514643</v>
      </c>
      <c r="P321" s="12" t="n">
        <v>0</v>
      </c>
      <c r="Q321" s="12" t="n">
        <v>0</v>
      </c>
      <c r="R321" s="13" t="str">
        <f aca="false">IF($A321=$A322,$C322-$C321,"")</f>
        <v/>
      </c>
      <c r="S321" s="14" t="str">
        <f aca="false">IF(AND($A321=$A322,ISNUMBER(F321),ISNUMBER(F322)),(F322-F321)/($C322-$C321),"")</f>
        <v/>
      </c>
      <c r="T321" s="14" t="str">
        <f aca="false">IF(AND($A321=$A322,ISNUMBER(J321),ISNUMBER(J322)),(J322-J321)/($C322-$C321),"")</f>
        <v/>
      </c>
      <c r="U321" s="14" t="str">
        <f aca="false">IF(AND($A321=$A322,ISNUMBER(N321),ISNUMBER(N322)),(N322-N321)/($C322-$C321),"")</f>
        <v/>
      </c>
      <c r="V321" s="13" t="n">
        <f aca="false">IF(ISNUMBER(F321),ROUND(F321,0),"")</f>
        <v>100</v>
      </c>
      <c r="W321" s="13" t="n">
        <f aca="false">IF(ISNUMBER(J321),ROUND(J321,0),"")</f>
        <v>99</v>
      </c>
      <c r="X321" s="13" t="n">
        <f aca="false">IF(ISNUMBER(N321),ROUND(N321,0),"")</f>
        <v>100</v>
      </c>
      <c r="Y321" s="10" t="str">
        <f aca="false">IF(AND($A321=$A322,V321=100,V322=100),"full access","")</f>
        <v/>
      </c>
      <c r="Z321" s="10" t="str">
        <f aca="false">IF(AND($A321=$A322,W321=100,W322=100),"full access","")</f>
        <v/>
      </c>
      <c r="AA321" s="10" t="str">
        <f aca="false">IF(AND($A321=$A322,X321=100,X322=100),"full access","")</f>
        <v/>
      </c>
      <c r="AB321" s="14" t="str">
        <f aca="false">IF(AND(ISNUMBER(T321),ISNUMBER(U321)),T321-U321,"")</f>
        <v/>
      </c>
    </row>
    <row r="322" customFormat="false" ht="15" hidden="false" customHeight="false" outlineLevel="0" collapsed="false">
      <c r="A322" s="4" t="s">
        <v>243</v>
      </c>
      <c r="B322" s="4" t="str">
        <f aca="false">IFERROR(INDEX('Region Lookup'!$B$2:$B$233,MATCH(A322,'Region Lookup'!$A$2:$A$233,0)),"Not found")</f>
        <v>Latin America &amp; Caribbean</v>
      </c>
      <c r="C322" s="4" t="n">
        <v>2015</v>
      </c>
      <c r="D322" s="6" t="n">
        <v>30470.73828</v>
      </c>
      <c r="E322" s="7" t="n">
        <v>77.35700226</v>
      </c>
      <c r="F322" s="7" t="n">
        <v>90.28200304</v>
      </c>
      <c r="G322" s="7" t="n">
        <v>0.9325834719</v>
      </c>
      <c r="H322" s="7" t="n">
        <v>5.763626055</v>
      </c>
      <c r="I322" s="7" t="n">
        <v>3.021787439</v>
      </c>
      <c r="J322" s="7" t="n">
        <v>73.28762384</v>
      </c>
      <c r="K322" s="7" t="n">
        <v>1.523040337</v>
      </c>
      <c r="L322" s="7" t="n">
        <v>12.99206766</v>
      </c>
      <c r="M322" s="7" t="n">
        <v>12.19726817</v>
      </c>
      <c r="N322" s="7" t="n">
        <v>95.25638702</v>
      </c>
      <c r="O322" s="7" t="n">
        <v>0.75975209</v>
      </c>
      <c r="P322" s="7" t="n">
        <v>3.647808558</v>
      </c>
      <c r="Q322" s="7" t="n">
        <v>0.3360523291</v>
      </c>
      <c r="R322" s="8" t="n">
        <f aca="false">IF($A322=$A323,$C323-$C322,"")</f>
        <v>5</v>
      </c>
      <c r="S322" s="9" t="n">
        <f aca="false">IF(AND($A322=$A323,ISNUMBER(F322),ISNUMBER(F323)),(F323-F322)/($C323-$C322),"")</f>
        <v>0.571472634</v>
      </c>
      <c r="T322" s="9" t="n">
        <f aca="false">IF(AND($A322=$A323,ISNUMBER(J322),ISNUMBER(J323)),(J323-J322)/($C323-$C322),"")</f>
        <v>1.50236293</v>
      </c>
      <c r="U322" s="9" t="n">
        <f aca="false">IF(AND($A322=$A323,ISNUMBER(N322),ISNUMBER(N323)),(N323-N322)/($C323-$C322),"")</f>
        <v>0.260691412</v>
      </c>
      <c r="V322" s="8" t="n">
        <f aca="false">IF(ISNUMBER(F322),ROUND(F322,0),"")</f>
        <v>90</v>
      </c>
      <c r="W322" s="8" t="n">
        <f aca="false">IF(ISNUMBER(J322),ROUND(J322,0),"")</f>
        <v>73</v>
      </c>
      <c r="X322" s="8" t="n">
        <f aca="false">IF(ISNUMBER(N322),ROUND(N322,0),"")</f>
        <v>95</v>
      </c>
      <c r="Y322" s="4" t="str">
        <f aca="false">IF(AND($A322=$A323,V322=100,V323=100),"full access","")</f>
        <v/>
      </c>
      <c r="Z322" s="4" t="str">
        <f aca="false">IF(AND($A322=$A323,W322=100,W323=100),"full access","")</f>
        <v/>
      </c>
      <c r="AA322" s="4" t="str">
        <f aca="false">IF(AND($A322=$A323,X322=100,X323=100),"full access","")</f>
        <v/>
      </c>
      <c r="AB322" s="9" t="n">
        <f aca="false">IF(AND(ISNUMBER(T322),ISNUMBER(U322)),T322-U322,"")</f>
        <v>1.241671518</v>
      </c>
    </row>
    <row r="323" customFormat="false" ht="15" hidden="false" customHeight="false" outlineLevel="0" collapsed="false">
      <c r="A323" s="4" t="s">
        <v>243</v>
      </c>
      <c r="B323" s="4" t="str">
        <f aca="false">IFERROR(INDEX('Region Lookup'!$B$2:$B$233,MATCH(A323,'Region Lookup'!$A$2:$A$233,0)),"Not found")</f>
        <v>Latin America &amp; Caribbean</v>
      </c>
      <c r="C323" s="4" t="n">
        <v>2020</v>
      </c>
      <c r="D323" s="6" t="n">
        <v>32971.84766</v>
      </c>
      <c r="E323" s="7" t="n">
        <v>78.2970047</v>
      </c>
      <c r="F323" s="7" t="n">
        <v>93.13936621</v>
      </c>
      <c r="G323" s="7" t="n">
        <v>0.8495593511</v>
      </c>
      <c r="H323" s="7" t="n">
        <v>4.150468349</v>
      </c>
      <c r="I323" s="7" t="n">
        <v>1.860606087</v>
      </c>
      <c r="J323" s="7" t="n">
        <v>80.79943849</v>
      </c>
      <c r="K323" s="7" t="n">
        <v>1.596943771</v>
      </c>
      <c r="L323" s="7" t="n">
        <v>9.612691163</v>
      </c>
      <c r="M323" s="7" t="n">
        <v>7.990926578</v>
      </c>
      <c r="N323" s="7" t="n">
        <v>96.55984408</v>
      </c>
      <c r="O323" s="7" t="n">
        <v>0.6423932356</v>
      </c>
      <c r="P323" s="7" t="n">
        <v>2.636408693</v>
      </c>
      <c r="Q323" s="7" t="n">
        <v>0.1613539953</v>
      </c>
      <c r="R323" s="8" t="str">
        <f aca="false">IF($A323=$A324,$C324-$C323,"")</f>
        <v/>
      </c>
      <c r="S323" s="9" t="str">
        <f aca="false">IF(AND($A323=$A324,ISNUMBER(F323),ISNUMBER(F324)),(F324-F323)/($C324-$C323),"")</f>
        <v/>
      </c>
      <c r="T323" s="9" t="str">
        <f aca="false">IF(AND($A323=$A324,ISNUMBER(J323),ISNUMBER(J324)),(J324-J323)/($C324-$C323),"")</f>
        <v/>
      </c>
      <c r="U323" s="9" t="str">
        <f aca="false">IF(AND($A323=$A324,ISNUMBER(N323),ISNUMBER(N324)),(N324-N323)/($C324-$C323),"")</f>
        <v/>
      </c>
      <c r="V323" s="8" t="n">
        <f aca="false">IF(ISNUMBER(F323),ROUND(F323,0),"")</f>
        <v>93</v>
      </c>
      <c r="W323" s="8" t="n">
        <f aca="false">IF(ISNUMBER(J323),ROUND(J323,0),"")</f>
        <v>81</v>
      </c>
      <c r="X323" s="8" t="n">
        <f aca="false">IF(ISNUMBER(N323),ROUND(N323,0),"")</f>
        <v>97</v>
      </c>
      <c r="Y323" s="4" t="str">
        <f aca="false">IF(AND($A323=$A324,V323=100,V324=100),"full access","")</f>
        <v/>
      </c>
      <c r="Z323" s="4" t="str">
        <f aca="false">IF(AND($A323=$A324,W323=100,W324=100),"full access","")</f>
        <v/>
      </c>
      <c r="AA323" s="4" t="str">
        <f aca="false">IF(AND($A323=$A324,X323=100,X324=100),"full access","")</f>
        <v/>
      </c>
      <c r="AB323" s="9" t="str">
        <f aca="false">IF(AND(ISNUMBER(T323),ISNUMBER(U323)),T323-U323,"")</f>
        <v/>
      </c>
    </row>
    <row r="324" customFormat="false" ht="15" hidden="false" customHeight="false" outlineLevel="0" collapsed="false">
      <c r="A324" s="10" t="s">
        <v>244</v>
      </c>
      <c r="B324" s="10" t="str">
        <f aca="false">IFERROR(INDEX('Region Lookup'!$B$2:$B$233,MATCH(A324,'Region Lookup'!$A$2:$A$233,0)),"Not found")</f>
        <v>South Asia</v>
      </c>
      <c r="C324" s="10" t="n">
        <v>2015</v>
      </c>
      <c r="D324" s="11" t="n">
        <v>102113.2031</v>
      </c>
      <c r="E324" s="12" t="n">
        <v>46.2840004</v>
      </c>
      <c r="F324" s="12" t="n">
        <v>92.01770102</v>
      </c>
      <c r="G324" s="12" t="n">
        <v>2.920429319</v>
      </c>
      <c r="H324" s="12" t="n">
        <v>4.532138462</v>
      </c>
      <c r="I324" s="12" t="n">
        <v>0.5297311944</v>
      </c>
      <c r="J324" s="12" t="n">
        <v>88.20816233</v>
      </c>
      <c r="K324" s="12" t="n">
        <v>3.825892542</v>
      </c>
      <c r="L324" s="12" t="n">
        <v>7.111213037</v>
      </c>
      <c r="M324" s="12" t="n">
        <v>0.8547320937</v>
      </c>
      <c r="N324" s="12" t="n">
        <v>96.43895214</v>
      </c>
      <c r="O324" s="12" t="n">
        <v>1.869572353</v>
      </c>
      <c r="P324" s="12" t="n">
        <v>1.538931873</v>
      </c>
      <c r="Q324" s="12" t="n">
        <v>0.1525436393</v>
      </c>
      <c r="R324" s="13" t="n">
        <f aca="false">IF($A324=$A325,$C325-$C324,"")</f>
        <v>5</v>
      </c>
      <c r="S324" s="14" t="n">
        <f aca="false">IF(AND($A324=$A325,ISNUMBER(F324),ISNUMBER(F325)),(F325-F324)/($C325-$C324),"")</f>
        <v>0.418266707999999</v>
      </c>
      <c r="T324" s="14" t="n">
        <f aca="false">IF(AND($A324=$A325,ISNUMBER(J324),ISNUMBER(J325)),(J325-J324)/($C325-$C324),"")</f>
        <v>0.570754178000001</v>
      </c>
      <c r="U324" s="14" t="n">
        <f aca="false">IF(AND($A324=$A325,ISNUMBER(N324),ISNUMBER(N325)),(N325-N324)/($C325-$C324),"")</f>
        <v>0.210076072000001</v>
      </c>
      <c r="V324" s="13" t="n">
        <f aca="false">IF(ISNUMBER(F324),ROUND(F324,0),"")</f>
        <v>92</v>
      </c>
      <c r="W324" s="13" t="n">
        <f aca="false">IF(ISNUMBER(J324),ROUND(J324,0),"")</f>
        <v>88</v>
      </c>
      <c r="X324" s="13" t="n">
        <f aca="false">IF(ISNUMBER(N324),ROUND(N324,0),"")</f>
        <v>96</v>
      </c>
      <c r="Y324" s="10" t="str">
        <f aca="false">IF(AND($A324=$A325,V324=100,V325=100),"full access","")</f>
        <v/>
      </c>
      <c r="Z324" s="10" t="str">
        <f aca="false">IF(AND($A324=$A325,W324=100,W325=100),"full access","")</f>
        <v/>
      </c>
      <c r="AA324" s="10" t="str">
        <f aca="false">IF(AND($A324=$A325,X324=100,X325=100),"full access","")</f>
        <v/>
      </c>
      <c r="AB324" s="14" t="n">
        <f aca="false">IF(AND(ISNUMBER(T324),ISNUMBER(U324)),T324-U324,"")</f>
        <v>0.360678106</v>
      </c>
    </row>
    <row r="325" customFormat="false" ht="15" hidden="false" customHeight="false" outlineLevel="0" collapsed="false">
      <c r="A325" s="10" t="s">
        <v>244</v>
      </c>
      <c r="B325" s="10" t="str">
        <f aca="false">IFERROR(INDEX('Region Lookup'!$B$2:$B$233,MATCH(A325,'Region Lookup'!$A$2:$A$233,0)),"Not found")</f>
        <v>South Asia</v>
      </c>
      <c r="C325" s="10" t="n">
        <v>2020</v>
      </c>
      <c r="D325" s="11" t="n">
        <v>109581.0859</v>
      </c>
      <c r="E325" s="12" t="n">
        <v>47.40799713</v>
      </c>
      <c r="F325" s="12" t="n">
        <v>94.10903456</v>
      </c>
      <c r="G325" s="12" t="n">
        <v>2.856486137</v>
      </c>
      <c r="H325" s="12" t="n">
        <v>3.034479307</v>
      </c>
      <c r="I325" s="12" t="n">
        <v>0</v>
      </c>
      <c r="J325" s="12" t="n">
        <v>91.06193322</v>
      </c>
      <c r="K325" s="12" t="n">
        <v>3.959520428</v>
      </c>
      <c r="L325" s="12" t="n">
        <v>4.978546347</v>
      </c>
      <c r="M325" s="12" t="n">
        <v>0</v>
      </c>
      <c r="N325" s="12" t="n">
        <v>97.4893325</v>
      </c>
      <c r="O325" s="12" t="n">
        <v>1.632836465</v>
      </c>
      <c r="P325" s="12" t="n">
        <v>0.877831036</v>
      </c>
      <c r="Q325" s="12" t="n">
        <v>0</v>
      </c>
      <c r="R325" s="13" t="str">
        <f aca="false">IF($A325=$A326,$C326-$C325,"")</f>
        <v/>
      </c>
      <c r="S325" s="14" t="str">
        <f aca="false">IF(AND($A325=$A326,ISNUMBER(F325),ISNUMBER(F326)),(F326-F325)/($C326-$C325),"")</f>
        <v/>
      </c>
      <c r="T325" s="14" t="str">
        <f aca="false">IF(AND($A325=$A326,ISNUMBER(J325),ISNUMBER(J326)),(J326-J325)/($C326-$C325),"")</f>
        <v/>
      </c>
      <c r="U325" s="14" t="str">
        <f aca="false">IF(AND($A325=$A326,ISNUMBER(N325),ISNUMBER(N326)),(N326-N325)/($C326-$C325),"")</f>
        <v/>
      </c>
      <c r="V325" s="13" t="n">
        <f aca="false">IF(ISNUMBER(F325),ROUND(F325,0),"")</f>
        <v>94</v>
      </c>
      <c r="W325" s="13" t="n">
        <f aca="false">IF(ISNUMBER(J325),ROUND(J325,0),"")</f>
        <v>91</v>
      </c>
      <c r="X325" s="13" t="n">
        <f aca="false">IF(ISNUMBER(N325),ROUND(N325,0),"")</f>
        <v>97</v>
      </c>
      <c r="Y325" s="10" t="str">
        <f aca="false">IF(AND($A325=$A326,V325=100,V326=100),"full access","")</f>
        <v/>
      </c>
      <c r="Z325" s="10" t="str">
        <f aca="false">IF(AND($A325=$A326,W325=100,W326=100),"full access","")</f>
        <v/>
      </c>
      <c r="AA325" s="10" t="str">
        <f aca="false">IF(AND($A325=$A326,X325=100,X326=100),"full access","")</f>
        <v/>
      </c>
      <c r="AB325" s="14" t="str">
        <f aca="false">IF(AND(ISNUMBER(T325),ISNUMBER(U325)),T325-U325,"")</f>
        <v/>
      </c>
    </row>
    <row r="326" customFormat="false" ht="15" hidden="false" customHeight="false" outlineLevel="0" collapsed="false">
      <c r="A326" s="4" t="s">
        <v>245</v>
      </c>
      <c r="B326" s="4" t="str">
        <f aca="false">IFERROR(INDEX('Region Lookup'!$B$2:$B$233,MATCH(A326,'Region Lookup'!$A$2:$A$233,0)),"Not found")</f>
        <v>Europe &amp; Central Asia</v>
      </c>
      <c r="C326" s="4" t="n">
        <v>2015</v>
      </c>
      <c r="D326" s="6" t="n">
        <v>38034.07422</v>
      </c>
      <c r="E326" s="7" t="n">
        <v>60.27799606</v>
      </c>
      <c r="F326" s="7" t="n">
        <v>99.23206988</v>
      </c>
      <c r="G326" s="7" t="n">
        <v>0</v>
      </c>
      <c r="H326" s="7" t="n">
        <v>0.7679301246</v>
      </c>
      <c r="I326" s="7" t="n">
        <v>0</v>
      </c>
      <c r="J326" s="7" t="n">
        <v>98.53790323</v>
      </c>
      <c r="K326" s="7" t="n">
        <v>0</v>
      </c>
      <c r="L326" s="7" t="n">
        <v>1.462096774</v>
      </c>
      <c r="M326" s="7" t="n">
        <v>0</v>
      </c>
      <c r="N326" s="7" t="n">
        <v>99.68951613</v>
      </c>
      <c r="O326" s="7" t="n">
        <v>0</v>
      </c>
      <c r="P326" s="7" t="n">
        <v>0.310483871</v>
      </c>
      <c r="Q326" s="7" t="n">
        <v>0</v>
      </c>
      <c r="R326" s="8" t="n">
        <f aca="false">IF($A326=$A327,$C327-$C326,"")</f>
        <v>5</v>
      </c>
      <c r="S326" s="9" t="n">
        <f aca="false">IF(AND($A326=$A327,ISNUMBER(F326),ISNUMBER(F327)),(F327-F326)/($C327-$C326),"")</f>
        <v>0.146904334000001</v>
      </c>
      <c r="T326" s="9" t="n">
        <f aca="false">IF(AND($A326=$A327,ISNUMBER(J326),ISNUMBER(J327)),(J327-J326)/($C327-$C326),"")</f>
        <v>0.292419354</v>
      </c>
      <c r="U326" s="9" t="n">
        <f aca="false">IF(AND($A326=$A327,ISNUMBER(N326),ISNUMBER(N327)),(N327-N326)/($C327-$C326),"")</f>
        <v>0.0509677420000003</v>
      </c>
      <c r="V326" s="8" t="n">
        <f aca="false">IF(ISNUMBER(F326),ROUND(F326,0),"")</f>
        <v>99</v>
      </c>
      <c r="W326" s="8" t="n">
        <f aca="false">IF(ISNUMBER(J326),ROUND(J326,0),"")</f>
        <v>99</v>
      </c>
      <c r="X326" s="8" t="n">
        <f aca="false">IF(ISNUMBER(N326),ROUND(N326,0),"")</f>
        <v>100</v>
      </c>
      <c r="Y326" s="4" t="str">
        <f aca="false">IF(AND($A326=$A327,V326=100,V327=100),"full access","")</f>
        <v/>
      </c>
      <c r="Z326" s="4" t="str">
        <f aca="false">IF(AND($A326=$A327,W326=100,W327=100),"full access","")</f>
        <v/>
      </c>
      <c r="AA326" s="4" t="str">
        <f aca="false">IF(AND($A326=$A327,X326=100,X327=100),"full access","")</f>
        <v>full access</v>
      </c>
      <c r="AB326" s="9" t="n">
        <f aca="false">IF(AND(ISNUMBER(T326),ISNUMBER(U326)),T326-U326,"")</f>
        <v>0.241451612</v>
      </c>
    </row>
    <row r="327" customFormat="false" ht="15" hidden="false" customHeight="false" outlineLevel="0" collapsed="false">
      <c r="A327" s="4" t="s">
        <v>245</v>
      </c>
      <c r="B327" s="4" t="str">
        <f aca="false">IFERROR(INDEX('Region Lookup'!$B$2:$B$233,MATCH(A327,'Region Lookup'!$A$2:$A$233,0)),"Not found")</f>
        <v>Europe &amp; Central Asia</v>
      </c>
      <c r="C327" s="4" t="n">
        <v>2020</v>
      </c>
      <c r="D327" s="6" t="n">
        <v>37846.60547</v>
      </c>
      <c r="E327" s="7" t="n">
        <v>60.04300308</v>
      </c>
      <c r="F327" s="7" t="n">
        <v>99.96659155</v>
      </c>
      <c r="G327" s="7" t="n">
        <v>0</v>
      </c>
      <c r="H327" s="7" t="n">
        <v>0.03340844529</v>
      </c>
      <c r="I327" s="7" t="n">
        <v>0</v>
      </c>
      <c r="J327" s="7" t="n">
        <v>100</v>
      </c>
      <c r="K327" s="7" t="n">
        <v>0</v>
      </c>
      <c r="L327" s="7" t="n">
        <v>0</v>
      </c>
      <c r="M327" s="7" t="n">
        <v>0</v>
      </c>
      <c r="N327" s="7" t="n">
        <v>99.94435484</v>
      </c>
      <c r="O327" s="7" t="n">
        <v>0</v>
      </c>
      <c r="P327" s="7" t="n">
        <v>0.05564516129</v>
      </c>
      <c r="Q327" s="7" t="n">
        <v>0</v>
      </c>
      <c r="R327" s="8" t="str">
        <f aca="false">IF($A327=$A328,$C328-$C327,"")</f>
        <v/>
      </c>
      <c r="S327" s="9" t="str">
        <f aca="false">IF(AND($A327=$A328,ISNUMBER(F327),ISNUMBER(F328)),(F328-F327)/($C328-$C327),"")</f>
        <v/>
      </c>
      <c r="T327" s="9" t="str">
        <f aca="false">IF(AND($A327=$A328,ISNUMBER(J327),ISNUMBER(J328)),(J328-J327)/($C328-$C327),"")</f>
        <v/>
      </c>
      <c r="U327" s="9" t="str">
        <f aca="false">IF(AND($A327=$A328,ISNUMBER(N327),ISNUMBER(N328)),(N328-N327)/($C328-$C327),"")</f>
        <v/>
      </c>
      <c r="V327" s="8" t="n">
        <f aca="false">IF(ISNUMBER(F327),ROUND(F327,0),"")</f>
        <v>100</v>
      </c>
      <c r="W327" s="8" t="n">
        <f aca="false">IF(ISNUMBER(J327),ROUND(J327,0),"")</f>
        <v>100</v>
      </c>
      <c r="X327" s="8" t="n">
        <f aca="false">IF(ISNUMBER(N327),ROUND(N327,0),"")</f>
        <v>100</v>
      </c>
      <c r="Y327" s="4" t="str">
        <f aca="false">IF(AND($A327=$A328,V327=100,V328=100),"full access","")</f>
        <v/>
      </c>
      <c r="Z327" s="4" t="str">
        <f aca="false">IF(AND($A327=$A328,W327=100,W328=100),"full access","")</f>
        <v/>
      </c>
      <c r="AA327" s="4" t="str">
        <f aca="false">IF(AND($A327=$A328,X327=100,X328=100),"full access","")</f>
        <v/>
      </c>
      <c r="AB327" s="9" t="str">
        <f aca="false">IF(AND(ISNUMBER(T327),ISNUMBER(U327)),T327-U327,"")</f>
        <v/>
      </c>
    </row>
    <row r="328" customFormat="false" ht="15" hidden="false" customHeight="false" outlineLevel="0" collapsed="false">
      <c r="A328" s="10" t="s">
        <v>246</v>
      </c>
      <c r="B328" s="10" t="str">
        <f aca="false">IFERROR(INDEX('Region Lookup'!$B$2:$B$233,MATCH(A328,'Region Lookup'!$A$2:$A$233,0)),"Not found")</f>
        <v>Europe &amp; Central Asia</v>
      </c>
      <c r="C328" s="10" t="n">
        <v>2015</v>
      </c>
      <c r="D328" s="11" t="n">
        <v>10368.3457</v>
      </c>
      <c r="E328" s="12" t="n">
        <v>63.51399994</v>
      </c>
      <c r="F328" s="12" t="n">
        <v>99.90468984</v>
      </c>
      <c r="G328" s="12" t="n">
        <v>0</v>
      </c>
      <c r="H328" s="12" t="n">
        <v>0.095310157</v>
      </c>
      <c r="I328" s="12" t="n">
        <v>0</v>
      </c>
      <c r="J328" s="12" t="n">
        <v>99.73877609</v>
      </c>
      <c r="K328" s="12" t="n">
        <v>0</v>
      </c>
      <c r="L328" s="12" t="n">
        <v>0.2612239122</v>
      </c>
      <c r="M328" s="12" t="n">
        <v>0</v>
      </c>
      <c r="N328" s="12" t="n">
        <v>100</v>
      </c>
      <c r="O328" s="12" t="n">
        <v>0</v>
      </c>
      <c r="P328" s="12" t="n">
        <v>0</v>
      </c>
      <c r="Q328" s="12" t="n">
        <v>0</v>
      </c>
      <c r="R328" s="13" t="n">
        <f aca="false">IF($A328=$A329,$C329-$C328,"")</f>
        <v>5</v>
      </c>
      <c r="S328" s="14" t="n">
        <f aca="false">IF(AND($A328=$A329,ISNUMBER(F328),ISNUMBER(F329)),(F329-F328)/($C329-$C328),"")</f>
        <v>0.00146076599999958</v>
      </c>
      <c r="T328" s="14" t="n">
        <f aca="false">IF(AND($A328=$A329,ISNUMBER(J328),ISNUMBER(J329)),(J329-J328)/($C329-$C328),"")</f>
        <v>0</v>
      </c>
      <c r="U328" s="14" t="n">
        <f aca="false">IF(AND($A328=$A329,ISNUMBER(N328),ISNUMBER(N329)),(N329-N328)/($C329-$C328),"")</f>
        <v>0</v>
      </c>
      <c r="V328" s="13" t="n">
        <f aca="false">IF(ISNUMBER(F328),ROUND(F328,0),"")</f>
        <v>100</v>
      </c>
      <c r="W328" s="13" t="n">
        <f aca="false">IF(ISNUMBER(J328),ROUND(J328,0),"")</f>
        <v>100</v>
      </c>
      <c r="X328" s="13" t="n">
        <f aca="false">IF(ISNUMBER(N328),ROUND(N328,0),"")</f>
        <v>100</v>
      </c>
      <c r="Y328" s="10" t="str">
        <f aca="false">IF(AND($A328=$A329,V328=100,V329=100),"full access","")</f>
        <v>full access</v>
      </c>
      <c r="Z328" s="10" t="str">
        <f aca="false">IF(AND($A328=$A329,W328=100,W329=100),"full access","")</f>
        <v>full access</v>
      </c>
      <c r="AA328" s="10" t="str">
        <f aca="false">IF(AND($A328=$A329,X328=100,X329=100),"full access","")</f>
        <v>full access</v>
      </c>
      <c r="AB328" s="14" t="n">
        <f aca="false">IF(AND(ISNUMBER(T328),ISNUMBER(U328)),T328-U328,"")</f>
        <v>0</v>
      </c>
    </row>
    <row r="329" customFormat="false" ht="15" hidden="false" customHeight="false" outlineLevel="0" collapsed="false">
      <c r="A329" s="10" t="s">
        <v>246</v>
      </c>
      <c r="B329" s="10" t="str">
        <f aca="false">IFERROR(INDEX('Region Lookup'!$B$2:$B$233,MATCH(A329,'Region Lookup'!$A$2:$A$233,0)),"Not found")</f>
        <v>Europe &amp; Central Asia</v>
      </c>
      <c r="C329" s="10" t="n">
        <v>2020</v>
      </c>
      <c r="D329" s="11" t="n">
        <v>10196.70703</v>
      </c>
      <c r="E329" s="12" t="n">
        <v>66.30999756</v>
      </c>
      <c r="F329" s="12" t="n">
        <v>99.91199367</v>
      </c>
      <c r="G329" s="12" t="n">
        <v>0</v>
      </c>
      <c r="H329" s="12" t="n">
        <v>0.08800633369</v>
      </c>
      <c r="I329" s="12" t="n">
        <v>0</v>
      </c>
      <c r="J329" s="12" t="n">
        <v>99.73877609</v>
      </c>
      <c r="K329" s="12" t="n">
        <v>0</v>
      </c>
      <c r="L329" s="12" t="n">
        <v>0.2612239122</v>
      </c>
      <c r="M329" s="12" t="n">
        <v>0</v>
      </c>
      <c r="N329" s="12" t="n">
        <v>100</v>
      </c>
      <c r="O329" s="12" t="n">
        <v>0</v>
      </c>
      <c r="P329" s="12" t="n">
        <v>0</v>
      </c>
      <c r="Q329" s="12" t="n">
        <v>0</v>
      </c>
      <c r="R329" s="13" t="str">
        <f aca="false">IF($A329=$A330,$C330-$C329,"")</f>
        <v/>
      </c>
      <c r="S329" s="14" t="str">
        <f aca="false">IF(AND($A329=$A330,ISNUMBER(F329),ISNUMBER(F330)),(F330-F329)/($C330-$C329),"")</f>
        <v/>
      </c>
      <c r="T329" s="14" t="str">
        <f aca="false">IF(AND($A329=$A330,ISNUMBER(J329),ISNUMBER(J330)),(J330-J329)/($C330-$C329),"")</f>
        <v/>
      </c>
      <c r="U329" s="14" t="str">
        <f aca="false">IF(AND($A329=$A330,ISNUMBER(N329),ISNUMBER(N330)),(N330-N329)/($C330-$C329),"")</f>
        <v/>
      </c>
      <c r="V329" s="13" t="n">
        <f aca="false">IF(ISNUMBER(F329),ROUND(F329,0),"")</f>
        <v>100</v>
      </c>
      <c r="W329" s="13" t="n">
        <f aca="false">IF(ISNUMBER(J329),ROUND(J329,0),"")</f>
        <v>100</v>
      </c>
      <c r="X329" s="13" t="n">
        <f aca="false">IF(ISNUMBER(N329),ROUND(N329,0),"")</f>
        <v>100</v>
      </c>
      <c r="Y329" s="10" t="str">
        <f aca="false">IF(AND($A329=$A330,V329=100,V330=100),"full access","")</f>
        <v/>
      </c>
      <c r="Z329" s="10" t="str">
        <f aca="false">IF(AND($A329=$A330,W329=100,W330=100),"full access","")</f>
        <v/>
      </c>
      <c r="AA329" s="10" t="str">
        <f aca="false">IF(AND($A329=$A330,X329=100,X330=100),"full access","")</f>
        <v/>
      </c>
      <c r="AB329" s="14" t="str">
        <f aca="false">IF(AND(ISNUMBER(T329),ISNUMBER(U329)),T329-U329,"")</f>
        <v/>
      </c>
    </row>
    <row r="330" customFormat="false" ht="15" hidden="false" customHeight="false" outlineLevel="0" collapsed="false">
      <c r="A330" s="4" t="s">
        <v>247</v>
      </c>
      <c r="B330" s="4" t="str">
        <f aca="false">IFERROR(INDEX('Region Lookup'!$B$2:$B$233,MATCH(A330,'Region Lookup'!$A$2:$A$233,0)),"Not found")</f>
        <v>Latin America &amp; Caribbean</v>
      </c>
      <c r="C330" s="4" t="n">
        <v>2015</v>
      </c>
      <c r="D330" s="6" t="n">
        <v>3381.511963</v>
      </c>
      <c r="E330" s="7" t="n">
        <v>93.62400055</v>
      </c>
      <c r="F330" s="7" t="n">
        <v>99.42544976</v>
      </c>
      <c r="G330" s="7" t="n">
        <v>0</v>
      </c>
      <c r="H330" s="7" t="n">
        <v>0.574550243</v>
      </c>
      <c r="I330" s="7" t="n">
        <v>0</v>
      </c>
      <c r="J330" s="7"/>
      <c r="K330" s="7"/>
      <c r="L330" s="7"/>
      <c r="M330" s="7"/>
      <c r="N330" s="7"/>
      <c r="O330" s="7"/>
      <c r="P330" s="7"/>
      <c r="Q330" s="7"/>
      <c r="R330" s="8" t="n">
        <f aca="false">IF($A330=$A331,$C331-$C330,"")</f>
        <v>5</v>
      </c>
      <c r="S330" s="9" t="n">
        <f aca="false">IF(AND($A330=$A331,ISNUMBER(F330),ISNUMBER(F331)),(F331-F330)/($C331-$C330),"")</f>
        <v>0.114910047999999</v>
      </c>
      <c r="T330" s="9" t="str">
        <f aca="false">IF(AND($A330=$A331,ISNUMBER(J330),ISNUMBER(J331)),(J331-J330)/($C331-$C330),"")</f>
        <v/>
      </c>
      <c r="U330" s="9" t="str">
        <f aca="false">IF(AND($A330=$A331,ISNUMBER(N330),ISNUMBER(N331)),(N331-N330)/($C331-$C330),"")</f>
        <v/>
      </c>
      <c r="V330" s="8" t="n">
        <f aca="false">IF(ISNUMBER(F330),ROUND(F330,0),"")</f>
        <v>99</v>
      </c>
      <c r="W330" s="8" t="str">
        <f aca="false">IF(ISNUMBER(J330),ROUND(J330,0),"")</f>
        <v/>
      </c>
      <c r="X330" s="8" t="str">
        <f aca="false">IF(ISNUMBER(N330),ROUND(N330,0),"")</f>
        <v/>
      </c>
      <c r="Y330" s="4" t="str">
        <f aca="false">IF(AND($A330=$A331,V330=100,V331=100),"full access","")</f>
        <v/>
      </c>
      <c r="Z330" s="4" t="str">
        <f aca="false">IF(AND($A330=$A331,W330=100,W331=100),"full access","")</f>
        <v/>
      </c>
      <c r="AA330" s="4" t="str">
        <f aca="false">IF(AND($A330=$A331,X330=100,X331=100),"full access","")</f>
        <v/>
      </c>
      <c r="AB330" s="9" t="str">
        <f aca="false">IF(AND(ISNUMBER(T330),ISNUMBER(U330)),T330-U330,"")</f>
        <v/>
      </c>
    </row>
    <row r="331" customFormat="false" ht="15" hidden="false" customHeight="false" outlineLevel="0" collapsed="false">
      <c r="A331" s="4" t="s">
        <v>247</v>
      </c>
      <c r="B331" s="4" t="str">
        <f aca="false">IFERROR(INDEX('Region Lookup'!$B$2:$B$233,MATCH(A331,'Region Lookup'!$A$2:$A$233,0)),"Not found")</f>
        <v>Latin America &amp; Caribbean</v>
      </c>
      <c r="C331" s="4" t="n">
        <v>2020</v>
      </c>
      <c r="D331" s="6" t="n">
        <v>2860.840088</v>
      </c>
      <c r="E331" s="7" t="n">
        <v>93.58100128</v>
      </c>
      <c r="F331" s="7" t="n">
        <v>100</v>
      </c>
      <c r="G331" s="7" t="n">
        <v>0</v>
      </c>
      <c r="H331" s="7" t="n">
        <v>0</v>
      </c>
      <c r="I331" s="7" t="n">
        <v>0</v>
      </c>
      <c r="J331" s="7"/>
      <c r="K331" s="7"/>
      <c r="L331" s="7"/>
      <c r="M331" s="7"/>
      <c r="N331" s="7"/>
      <c r="O331" s="7"/>
      <c r="P331" s="7"/>
      <c r="Q331" s="7"/>
      <c r="R331" s="8" t="str">
        <f aca="false">IF($A331=$A332,$C332-$C331,"")</f>
        <v/>
      </c>
      <c r="S331" s="9" t="str">
        <f aca="false">IF(AND($A331=$A332,ISNUMBER(F331),ISNUMBER(F332)),(F332-F331)/($C332-$C331),"")</f>
        <v/>
      </c>
      <c r="T331" s="9" t="str">
        <f aca="false">IF(AND($A331=$A332,ISNUMBER(J331),ISNUMBER(J332)),(J332-J331)/($C332-$C331),"")</f>
        <v/>
      </c>
      <c r="U331" s="9" t="str">
        <f aca="false">IF(AND($A331=$A332,ISNUMBER(N331),ISNUMBER(N332)),(N332-N331)/($C332-$C331),"")</f>
        <v/>
      </c>
      <c r="V331" s="8" t="n">
        <f aca="false">IF(ISNUMBER(F331),ROUND(F331,0),"")</f>
        <v>100</v>
      </c>
      <c r="W331" s="8" t="str">
        <f aca="false">IF(ISNUMBER(J331),ROUND(J331,0),"")</f>
        <v/>
      </c>
      <c r="X331" s="8" t="str">
        <f aca="false">IF(ISNUMBER(N331),ROUND(N331,0),"")</f>
        <v/>
      </c>
      <c r="Y331" s="4" t="str">
        <f aca="false">IF(AND($A331=$A332,V331=100,V332=100),"full access","")</f>
        <v/>
      </c>
      <c r="Z331" s="4" t="str">
        <f aca="false">IF(AND($A331=$A332,W331=100,W332=100),"full access","")</f>
        <v/>
      </c>
      <c r="AA331" s="4" t="str">
        <f aca="false">IF(AND($A331=$A332,X331=100,X332=100),"full access","")</f>
        <v/>
      </c>
      <c r="AB331" s="9" t="str">
        <f aca="false">IF(AND(ISNUMBER(T331),ISNUMBER(U331)),T331-U331,"")</f>
        <v/>
      </c>
    </row>
    <row r="332" customFormat="false" ht="15" hidden="false" customHeight="false" outlineLevel="0" collapsed="false">
      <c r="A332" s="10" t="s">
        <v>248</v>
      </c>
      <c r="B332" s="10" t="str">
        <f aca="false">IFERROR(INDEX('Region Lookup'!$B$2:$B$233,MATCH(A332,'Region Lookup'!$A$2:$A$233,0)),"Not found")</f>
        <v>Europe &amp; Central Asia</v>
      </c>
      <c r="C332" s="10" t="n">
        <v>2015</v>
      </c>
      <c r="D332" s="11" t="n">
        <v>2565.708008</v>
      </c>
      <c r="E332" s="12" t="n">
        <v>98.94499207</v>
      </c>
      <c r="F332" s="12" t="n">
        <v>99.69150138</v>
      </c>
      <c r="G332" s="12" t="n">
        <v>0</v>
      </c>
      <c r="H332" s="12" t="n">
        <v>0.308498617</v>
      </c>
      <c r="I332" s="12" t="n">
        <v>0</v>
      </c>
      <c r="J332" s="12"/>
      <c r="K332" s="12"/>
      <c r="L332" s="12"/>
      <c r="M332" s="12"/>
      <c r="N332" s="12"/>
      <c r="O332" s="12"/>
      <c r="P332" s="12"/>
      <c r="Q332" s="12"/>
      <c r="R332" s="13" t="n">
        <f aca="false">IF($A332=$A333,$C333-$C332,"")</f>
        <v>5</v>
      </c>
      <c r="S332" s="14" t="n">
        <f aca="false">IF(AND($A332=$A333,ISNUMBER(F332),ISNUMBER(F333)),(F333-F332)/($C333-$C332),"")</f>
        <v>-0.024679888</v>
      </c>
      <c r="T332" s="14" t="str">
        <f aca="false">IF(AND($A332=$A333,ISNUMBER(J332),ISNUMBER(J333)),(J333-J332)/($C333-$C332),"")</f>
        <v/>
      </c>
      <c r="U332" s="14" t="str">
        <f aca="false">IF(AND($A332=$A333,ISNUMBER(N332),ISNUMBER(N333)),(N333-N332)/($C333-$C332),"")</f>
        <v/>
      </c>
      <c r="V332" s="13" t="n">
        <f aca="false">IF(ISNUMBER(F332),ROUND(F332,0),"")</f>
        <v>100</v>
      </c>
      <c r="W332" s="13" t="str">
        <f aca="false">IF(ISNUMBER(J332),ROUND(J332,0),"")</f>
        <v/>
      </c>
      <c r="X332" s="13" t="str">
        <f aca="false">IF(ISNUMBER(N332),ROUND(N332,0),"")</f>
        <v/>
      </c>
      <c r="Y332" s="10" t="str">
        <f aca="false">IF(AND($A332=$A333,V332=100,V333=100),"full access","")</f>
        <v>full access</v>
      </c>
      <c r="Z332" s="10" t="str">
        <f aca="false">IF(AND($A332=$A333,W332=100,W333=100),"full access","")</f>
        <v/>
      </c>
      <c r="AA332" s="10" t="str">
        <f aca="false">IF(AND($A332=$A333,X332=100,X333=100),"full access","")</f>
        <v/>
      </c>
      <c r="AB332" s="14" t="str">
        <f aca="false">IF(AND(ISNUMBER(T332),ISNUMBER(U332)),T332-U332,"")</f>
        <v/>
      </c>
    </row>
    <row r="333" customFormat="false" ht="15" hidden="false" customHeight="false" outlineLevel="0" collapsed="false">
      <c r="A333" s="10" t="s">
        <v>248</v>
      </c>
      <c r="B333" s="10" t="str">
        <f aca="false">IFERROR(INDEX('Region Lookup'!$B$2:$B$233,MATCH(A333,'Region Lookup'!$A$2:$A$233,0)),"Not found")</f>
        <v>Europe &amp; Central Asia</v>
      </c>
      <c r="C333" s="10" t="n">
        <v>2020</v>
      </c>
      <c r="D333" s="11" t="n">
        <v>2881.060059</v>
      </c>
      <c r="E333" s="12" t="n">
        <v>99.23500061</v>
      </c>
      <c r="F333" s="12" t="n">
        <v>99.56810194</v>
      </c>
      <c r="G333" s="12" t="n">
        <v>0</v>
      </c>
      <c r="H333" s="12" t="n">
        <v>0.4318980637</v>
      </c>
      <c r="I333" s="12" t="n">
        <v>0</v>
      </c>
      <c r="J333" s="12"/>
      <c r="K333" s="12"/>
      <c r="L333" s="12"/>
      <c r="M333" s="12"/>
      <c r="N333" s="12"/>
      <c r="O333" s="12"/>
      <c r="P333" s="12"/>
      <c r="Q333" s="12"/>
      <c r="R333" s="13" t="str">
        <f aca="false">IF($A333=$A334,$C334-$C333,"")</f>
        <v/>
      </c>
      <c r="S333" s="14" t="str">
        <f aca="false">IF(AND($A333=$A334,ISNUMBER(F333),ISNUMBER(F334)),(F334-F333)/($C334-$C333),"")</f>
        <v/>
      </c>
      <c r="T333" s="14" t="str">
        <f aca="false">IF(AND($A333=$A334,ISNUMBER(J333),ISNUMBER(J334)),(J334-J333)/($C334-$C333),"")</f>
        <v/>
      </c>
      <c r="U333" s="14" t="str">
        <f aca="false">IF(AND($A333=$A334,ISNUMBER(N333),ISNUMBER(N334)),(N334-N333)/($C334-$C333),"")</f>
        <v/>
      </c>
      <c r="V333" s="13" t="n">
        <f aca="false">IF(ISNUMBER(F333),ROUND(F333,0),"")</f>
        <v>100</v>
      </c>
      <c r="W333" s="13" t="str">
        <f aca="false">IF(ISNUMBER(J333),ROUND(J333,0),"")</f>
        <v/>
      </c>
      <c r="X333" s="13" t="str">
        <f aca="false">IF(ISNUMBER(N333),ROUND(N333,0),"")</f>
        <v/>
      </c>
      <c r="Y333" s="10" t="str">
        <f aca="false">IF(AND($A333=$A334,V333=100,V334=100),"full access","")</f>
        <v/>
      </c>
      <c r="Z333" s="10" t="str">
        <f aca="false">IF(AND($A333=$A334,W333=100,W334=100),"full access","")</f>
        <v/>
      </c>
      <c r="AA333" s="10" t="str">
        <f aca="false">IF(AND($A333=$A334,X333=100,X334=100),"full access","")</f>
        <v/>
      </c>
      <c r="AB333" s="14" t="str">
        <f aca="false">IF(AND(ISNUMBER(T333),ISNUMBER(U333)),T333-U333,"")</f>
        <v/>
      </c>
    </row>
    <row r="334" customFormat="false" ht="15" hidden="false" customHeight="false" outlineLevel="0" collapsed="false">
      <c r="A334" s="4" t="s">
        <v>249</v>
      </c>
      <c r="B334" s="4" t="str">
        <f aca="false">IFERROR(INDEX('Region Lookup'!$B$2:$B$233,MATCH(A334,'Region Lookup'!$A$2:$A$233,0)),"Not found")</f>
        <v>East Asia &amp; Pacific</v>
      </c>
      <c r="C334" s="4" t="n">
        <v>2015</v>
      </c>
      <c r="D334" s="6" t="n">
        <v>50823.08594</v>
      </c>
      <c r="E334" s="7" t="n">
        <v>81.63400269</v>
      </c>
      <c r="F334" s="7" t="n">
        <v>99.47274641</v>
      </c>
      <c r="G334" s="7" t="n">
        <v>0</v>
      </c>
      <c r="H334" s="7" t="n">
        <v>0.5272535907</v>
      </c>
      <c r="I334" s="7" t="n">
        <v>0</v>
      </c>
      <c r="J334" s="7"/>
      <c r="K334" s="7"/>
      <c r="L334" s="7"/>
      <c r="M334" s="7"/>
      <c r="N334" s="7"/>
      <c r="O334" s="7"/>
      <c r="P334" s="7"/>
      <c r="Q334" s="7"/>
      <c r="R334" s="8" t="n">
        <f aca="false">IF($A334=$A335,$C335-$C334,"")</f>
        <v>5</v>
      </c>
      <c r="S334" s="9" t="n">
        <f aca="false">IF(AND($A334=$A335,ISNUMBER(F334),ISNUMBER(F335)),(F335-F334)/($C335-$C334),"")</f>
        <v>0.0917300479999994</v>
      </c>
      <c r="T334" s="9" t="str">
        <f aca="false">IF(AND($A334=$A335,ISNUMBER(J334),ISNUMBER(J335)),(J335-J334)/($C335-$C334),"")</f>
        <v/>
      </c>
      <c r="U334" s="9" t="str">
        <f aca="false">IF(AND($A334=$A335,ISNUMBER(N334),ISNUMBER(N335)),(N335-N334)/($C335-$C334),"")</f>
        <v/>
      </c>
      <c r="V334" s="8" t="n">
        <f aca="false">IF(ISNUMBER(F334),ROUND(F334,0),"")</f>
        <v>99</v>
      </c>
      <c r="W334" s="8" t="str">
        <f aca="false">IF(ISNUMBER(J334),ROUND(J334,0),"")</f>
        <v/>
      </c>
      <c r="X334" s="8" t="str">
        <f aca="false">IF(ISNUMBER(N334),ROUND(N334,0),"")</f>
        <v/>
      </c>
      <c r="Y334" s="4" t="str">
        <f aca="false">IF(AND($A334=$A335,V334=100,V335=100),"full access","")</f>
        <v/>
      </c>
      <c r="Z334" s="4" t="str">
        <f aca="false">IF(AND($A334=$A335,W334=100,W335=100),"full access","")</f>
        <v/>
      </c>
      <c r="AA334" s="4" t="str">
        <f aca="false">IF(AND($A334=$A335,X334=100,X335=100),"full access","")</f>
        <v/>
      </c>
      <c r="AB334" s="9" t="str">
        <f aca="false">IF(AND(ISNUMBER(T334),ISNUMBER(U334)),T334-U334,"")</f>
        <v/>
      </c>
    </row>
    <row r="335" customFormat="false" ht="15" hidden="false" customHeight="false" outlineLevel="0" collapsed="false">
      <c r="A335" s="4" t="s">
        <v>249</v>
      </c>
      <c r="B335" s="4" t="str">
        <f aca="false">IFERROR(INDEX('Region Lookup'!$B$2:$B$233,MATCH(A335,'Region Lookup'!$A$2:$A$233,0)),"Not found")</f>
        <v>East Asia &amp; Pacific</v>
      </c>
      <c r="C335" s="4" t="n">
        <v>2020</v>
      </c>
      <c r="D335" s="6" t="n">
        <v>51269.18359</v>
      </c>
      <c r="E335" s="7" t="n">
        <v>81.41400146</v>
      </c>
      <c r="F335" s="7" t="n">
        <v>99.93139665</v>
      </c>
      <c r="G335" s="7" t="n">
        <v>0</v>
      </c>
      <c r="H335" s="7" t="n">
        <v>0.06860335296</v>
      </c>
      <c r="I335" s="7" t="n">
        <v>0</v>
      </c>
      <c r="J335" s="7"/>
      <c r="K335" s="7"/>
      <c r="L335" s="7"/>
      <c r="M335" s="7"/>
      <c r="N335" s="7"/>
      <c r="O335" s="7"/>
      <c r="P335" s="7"/>
      <c r="Q335" s="7"/>
      <c r="R335" s="8" t="str">
        <f aca="false">IF($A335=$A336,$C336-$C335,"")</f>
        <v/>
      </c>
      <c r="S335" s="9" t="str">
        <f aca="false">IF(AND($A335=$A336,ISNUMBER(F335),ISNUMBER(F336)),(F336-F335)/($C336-$C335),"")</f>
        <v/>
      </c>
      <c r="T335" s="9" t="str">
        <f aca="false">IF(AND($A335=$A336,ISNUMBER(J335),ISNUMBER(J336)),(J336-J335)/($C336-$C335),"")</f>
        <v/>
      </c>
      <c r="U335" s="9" t="str">
        <f aca="false">IF(AND($A335=$A336,ISNUMBER(N335),ISNUMBER(N336)),(N336-N335)/($C336-$C335),"")</f>
        <v/>
      </c>
      <c r="V335" s="8" t="n">
        <f aca="false">IF(ISNUMBER(F335),ROUND(F335,0),"")</f>
        <v>100</v>
      </c>
      <c r="W335" s="8" t="str">
        <f aca="false">IF(ISNUMBER(J335),ROUND(J335,0),"")</f>
        <v/>
      </c>
      <c r="X335" s="8" t="str">
        <f aca="false">IF(ISNUMBER(N335),ROUND(N335,0),"")</f>
        <v/>
      </c>
      <c r="Y335" s="4" t="str">
        <f aca="false">IF(AND($A335=$A336,V335=100,V336=100),"full access","")</f>
        <v/>
      </c>
      <c r="Z335" s="4" t="str">
        <f aca="false">IF(AND($A335=$A336,W335=100,W336=100),"full access","")</f>
        <v/>
      </c>
      <c r="AA335" s="4" t="str">
        <f aca="false">IF(AND($A335=$A336,X335=100,X336=100),"full access","")</f>
        <v/>
      </c>
      <c r="AB335" s="9" t="str">
        <f aca="false">IF(AND(ISNUMBER(T335),ISNUMBER(U335)),T335-U335,"")</f>
        <v/>
      </c>
    </row>
    <row r="336" customFormat="false" ht="15" hidden="false" customHeight="false" outlineLevel="0" collapsed="false">
      <c r="A336" s="10" t="s">
        <v>250</v>
      </c>
      <c r="B336" s="10" t="str">
        <f aca="false">IFERROR(INDEX('Region Lookup'!$B$2:$B$233,MATCH(A336,'Region Lookup'!$A$2:$A$233,0)),"Not found")</f>
        <v>Europe &amp; Central Asia</v>
      </c>
      <c r="C336" s="10" t="n">
        <v>2015</v>
      </c>
      <c r="D336" s="11" t="n">
        <v>4070.705078</v>
      </c>
      <c r="E336" s="12" t="n">
        <v>42.48999786</v>
      </c>
      <c r="F336" s="12" t="n">
        <v>88.5760319</v>
      </c>
      <c r="G336" s="12" t="n">
        <v>1.485629517</v>
      </c>
      <c r="H336" s="12" t="n">
        <v>9.938338582</v>
      </c>
      <c r="I336" s="12" t="n">
        <v>0</v>
      </c>
      <c r="J336" s="12" t="n">
        <v>82.54249075</v>
      </c>
      <c r="K336" s="12" t="n">
        <v>1.470222482</v>
      </c>
      <c r="L336" s="12" t="n">
        <v>15.98728677</v>
      </c>
      <c r="M336" s="12" t="n">
        <v>0</v>
      </c>
      <c r="N336" s="12" t="n">
        <v>96.7423994</v>
      </c>
      <c r="O336" s="12" t="n">
        <v>1.506482861</v>
      </c>
      <c r="P336" s="12" t="n">
        <v>1.751117739</v>
      </c>
      <c r="Q336" s="12" t="n">
        <v>0</v>
      </c>
      <c r="R336" s="13" t="n">
        <f aca="false">IF($A336=$A337,$C337-$C336,"")</f>
        <v>5</v>
      </c>
      <c r="S336" s="14" t="n">
        <f aca="false">IF(AND($A336=$A337,ISNUMBER(F336),ISNUMBER(F337)),(F337-F336)/($C337-$C336),"")</f>
        <v>0.398786067999998</v>
      </c>
      <c r="T336" s="14" t="n">
        <f aca="false">IF(AND($A336=$A337,ISNUMBER(J336),ISNUMBER(J337)),(J337-J336)/($C337-$C336),"")</f>
        <v>0.587709473999999</v>
      </c>
      <c r="U336" s="14" t="n">
        <f aca="false">IF(AND($A336=$A337,ISNUMBER(N336),ISNUMBER(N337)),(N337-N336)/($C337-$C336),"")</f>
        <v>0.123009016</v>
      </c>
      <c r="V336" s="13" t="n">
        <f aca="false">IF(ISNUMBER(F336),ROUND(F336,0),"")</f>
        <v>89</v>
      </c>
      <c r="W336" s="13" t="n">
        <f aca="false">IF(ISNUMBER(J336),ROUND(J336,0),"")</f>
        <v>83</v>
      </c>
      <c r="X336" s="13" t="n">
        <f aca="false">IF(ISNUMBER(N336),ROUND(N336,0),"")</f>
        <v>97</v>
      </c>
      <c r="Y336" s="10" t="str">
        <f aca="false">IF(AND($A336=$A337,V336=100,V337=100),"full access","")</f>
        <v/>
      </c>
      <c r="Z336" s="10" t="str">
        <f aca="false">IF(AND($A336=$A337,W336=100,W337=100),"full access","")</f>
        <v/>
      </c>
      <c r="AA336" s="10" t="str">
        <f aca="false">IF(AND($A336=$A337,X336=100,X337=100),"full access","")</f>
        <v/>
      </c>
      <c r="AB336" s="14" t="n">
        <f aca="false">IF(AND(ISNUMBER(T336),ISNUMBER(U336)),T336-U336,"")</f>
        <v>0.464700457999999</v>
      </c>
    </row>
    <row r="337" customFormat="false" ht="15" hidden="false" customHeight="false" outlineLevel="0" collapsed="false">
      <c r="A337" s="10" t="s">
        <v>250</v>
      </c>
      <c r="B337" s="10" t="str">
        <f aca="false">IFERROR(INDEX('Region Lookup'!$B$2:$B$233,MATCH(A337,'Region Lookup'!$A$2:$A$233,0)),"Not found")</f>
        <v>Europe &amp; Central Asia</v>
      </c>
      <c r="C337" s="10" t="n">
        <v>2020</v>
      </c>
      <c r="D337" s="11" t="n">
        <v>4033.962891</v>
      </c>
      <c r="E337" s="12" t="n">
        <v>42.84900284</v>
      </c>
      <c r="F337" s="12" t="n">
        <v>90.56996224</v>
      </c>
      <c r="G337" s="12" t="n">
        <v>1.519776762</v>
      </c>
      <c r="H337" s="12" t="n">
        <v>7.910260997</v>
      </c>
      <c r="I337" s="12" t="n">
        <v>0</v>
      </c>
      <c r="J337" s="12" t="n">
        <v>85.48103812</v>
      </c>
      <c r="K337" s="12" t="n">
        <v>1.52256302</v>
      </c>
      <c r="L337" s="12" t="n">
        <v>12.99639886</v>
      </c>
      <c r="M337" s="12" t="n">
        <v>0</v>
      </c>
      <c r="N337" s="12" t="n">
        <v>97.35744448</v>
      </c>
      <c r="O337" s="12" t="n">
        <v>1.516060408</v>
      </c>
      <c r="P337" s="12" t="n">
        <v>1.126495111</v>
      </c>
      <c r="Q337" s="12" t="n">
        <v>0</v>
      </c>
      <c r="R337" s="13" t="str">
        <f aca="false">IF($A337=$A338,$C338-$C337,"")</f>
        <v/>
      </c>
      <c r="S337" s="14" t="str">
        <f aca="false">IF(AND($A337=$A338,ISNUMBER(F337),ISNUMBER(F338)),(F338-F337)/($C338-$C337),"")</f>
        <v/>
      </c>
      <c r="T337" s="14" t="str">
        <f aca="false">IF(AND($A337=$A338,ISNUMBER(J337),ISNUMBER(J338)),(J338-J337)/($C338-$C337),"")</f>
        <v/>
      </c>
      <c r="U337" s="14" t="str">
        <f aca="false">IF(AND($A337=$A338,ISNUMBER(N337),ISNUMBER(N338)),(N338-N337)/($C338-$C337),"")</f>
        <v/>
      </c>
      <c r="V337" s="13" t="n">
        <f aca="false">IF(ISNUMBER(F337),ROUND(F337,0),"")</f>
        <v>91</v>
      </c>
      <c r="W337" s="13" t="n">
        <f aca="false">IF(ISNUMBER(J337),ROUND(J337,0),"")</f>
        <v>85</v>
      </c>
      <c r="X337" s="13" t="n">
        <f aca="false">IF(ISNUMBER(N337),ROUND(N337,0),"")</f>
        <v>97</v>
      </c>
      <c r="Y337" s="10" t="str">
        <f aca="false">IF(AND($A337=$A338,V337=100,V338=100),"full access","")</f>
        <v/>
      </c>
      <c r="Z337" s="10" t="str">
        <f aca="false">IF(AND($A337=$A338,W337=100,W338=100),"full access","")</f>
        <v/>
      </c>
      <c r="AA337" s="10" t="str">
        <f aca="false">IF(AND($A337=$A338,X337=100,X338=100),"full access","")</f>
        <v/>
      </c>
      <c r="AB337" s="14" t="str">
        <f aca="false">IF(AND(ISNUMBER(T337),ISNUMBER(U337)),T337-U337,"")</f>
        <v/>
      </c>
    </row>
    <row r="338" customFormat="false" ht="15" hidden="false" customHeight="false" outlineLevel="0" collapsed="false">
      <c r="A338" s="4" t="s">
        <v>251</v>
      </c>
      <c r="B338" s="4" t="str">
        <f aca="false">IFERROR(INDEX('Region Lookup'!$B$2:$B$233,MATCH(A338,'Region Lookup'!$A$2:$A$233,0)),"Not found")</f>
        <v>Sub-Saharan Africa</v>
      </c>
      <c r="C338" s="4" t="n">
        <v>2015</v>
      </c>
      <c r="D338" s="6" t="n">
        <v>863.3590088</v>
      </c>
      <c r="E338" s="7" t="n">
        <v>99.33900452</v>
      </c>
      <c r="F338" s="7" t="n">
        <v>99.91153019</v>
      </c>
      <c r="G338" s="7" t="n">
        <v>0</v>
      </c>
      <c r="H338" s="7" t="n">
        <v>0.0884698141</v>
      </c>
      <c r="I338" s="7" t="n">
        <v>0</v>
      </c>
      <c r="J338" s="7"/>
      <c r="K338" s="7"/>
      <c r="L338" s="7"/>
      <c r="M338" s="7"/>
      <c r="N338" s="7"/>
      <c r="O338" s="7"/>
      <c r="P338" s="7"/>
      <c r="Q338" s="7"/>
      <c r="R338" s="8" t="n">
        <f aca="false">IF($A338=$A339,$C339-$C338,"")</f>
        <v>5</v>
      </c>
      <c r="S338" s="9" t="n">
        <f aca="false">IF(AND($A338=$A339,ISNUMBER(F338),ISNUMBER(F339)),(F339-F338)/($C339-$C338),"")</f>
        <v>0.0176939620000013</v>
      </c>
      <c r="T338" s="9" t="str">
        <f aca="false">IF(AND($A338=$A339,ISNUMBER(J338),ISNUMBER(J339)),(J339-J338)/($C339-$C338),"")</f>
        <v/>
      </c>
      <c r="U338" s="9" t="str">
        <f aca="false">IF(AND($A338=$A339,ISNUMBER(N338),ISNUMBER(N339)),(N339-N338)/($C339-$C338),"")</f>
        <v/>
      </c>
      <c r="V338" s="8" t="n">
        <f aca="false">IF(ISNUMBER(F338),ROUND(F338,0),"")</f>
        <v>100</v>
      </c>
      <c r="W338" s="8" t="str">
        <f aca="false">IF(ISNUMBER(J338),ROUND(J338,0),"")</f>
        <v/>
      </c>
      <c r="X338" s="8" t="str">
        <f aca="false">IF(ISNUMBER(N338),ROUND(N338,0),"")</f>
        <v/>
      </c>
      <c r="Y338" s="4" t="str">
        <f aca="false">IF(AND($A338=$A339,V338=100,V339=100),"full access","")</f>
        <v>full access</v>
      </c>
      <c r="Z338" s="4" t="str">
        <f aca="false">IF(AND($A338=$A339,W338=100,W339=100),"full access","")</f>
        <v/>
      </c>
      <c r="AA338" s="4" t="str">
        <f aca="false">IF(AND($A338=$A339,X338=100,X339=100),"full access","")</f>
        <v/>
      </c>
      <c r="AB338" s="9" t="str">
        <f aca="false">IF(AND(ISNUMBER(T338),ISNUMBER(U338)),T338-U338,"")</f>
        <v/>
      </c>
    </row>
    <row r="339" customFormat="false" ht="15" hidden="false" customHeight="false" outlineLevel="0" collapsed="false">
      <c r="A339" s="4" t="s">
        <v>251</v>
      </c>
      <c r="B339" s="4" t="str">
        <f aca="false">IFERROR(INDEX('Region Lookup'!$B$2:$B$233,MATCH(A339,'Region Lookup'!$A$2:$A$233,0)),"Not found")</f>
        <v>Sub-Saharan Africa</v>
      </c>
      <c r="C339" s="4" t="n">
        <v>2020</v>
      </c>
      <c r="D339" s="6" t="n">
        <v>895.3079834</v>
      </c>
      <c r="E339" s="7" t="n">
        <v>99.65900421</v>
      </c>
      <c r="F339" s="7" t="n">
        <v>100</v>
      </c>
      <c r="G339" s="7" t="n">
        <v>0</v>
      </c>
      <c r="H339" s="7" t="n">
        <v>0</v>
      </c>
      <c r="I339" s="7" t="n">
        <v>0</v>
      </c>
      <c r="J339" s="7"/>
      <c r="K339" s="7"/>
      <c r="L339" s="7"/>
      <c r="M339" s="7"/>
      <c r="N339" s="7"/>
      <c r="O339" s="7"/>
      <c r="P339" s="7"/>
      <c r="Q339" s="7"/>
      <c r="R339" s="8" t="str">
        <f aca="false">IF($A339=$A340,$C340-$C339,"")</f>
        <v/>
      </c>
      <c r="S339" s="9" t="str">
        <f aca="false">IF(AND($A339=$A340,ISNUMBER(F339),ISNUMBER(F340)),(F340-F339)/($C340-$C339),"")</f>
        <v/>
      </c>
      <c r="T339" s="9" t="str">
        <f aca="false">IF(AND($A339=$A340,ISNUMBER(J339),ISNUMBER(J340)),(J340-J339)/($C340-$C339),"")</f>
        <v/>
      </c>
      <c r="U339" s="9" t="str">
        <f aca="false">IF(AND($A339=$A340,ISNUMBER(N339),ISNUMBER(N340)),(N340-N339)/($C340-$C339),"")</f>
        <v/>
      </c>
      <c r="V339" s="8" t="n">
        <f aca="false">IF(ISNUMBER(F339),ROUND(F339,0),"")</f>
        <v>100</v>
      </c>
      <c r="W339" s="8" t="str">
        <f aca="false">IF(ISNUMBER(J339),ROUND(J339,0),"")</f>
        <v/>
      </c>
      <c r="X339" s="8" t="str">
        <f aca="false">IF(ISNUMBER(N339),ROUND(N339,0),"")</f>
        <v/>
      </c>
      <c r="Y339" s="4" t="str">
        <f aca="false">IF(AND($A339=$A340,V339=100,V340=100),"full access","")</f>
        <v/>
      </c>
      <c r="Z339" s="4" t="str">
        <f aca="false">IF(AND($A339=$A340,W339=100,W340=100),"full access","")</f>
        <v/>
      </c>
      <c r="AA339" s="4" t="str">
        <f aca="false">IF(AND($A339=$A340,X339=100,X340=100),"full access","")</f>
        <v/>
      </c>
      <c r="AB339" s="9" t="str">
        <f aca="false">IF(AND(ISNUMBER(T339),ISNUMBER(U339)),T339-U339,"")</f>
        <v/>
      </c>
    </row>
    <row r="340" customFormat="false" ht="15" hidden="false" customHeight="false" outlineLevel="0" collapsed="false">
      <c r="A340" s="10" t="s">
        <v>252</v>
      </c>
      <c r="B340" s="10" t="str">
        <f aca="false">IFERROR(INDEX('Region Lookup'!$B$2:$B$233,MATCH(A340,'Region Lookup'!$A$2:$A$233,0)),"Not found")</f>
        <v>Europe &amp; Central Asia</v>
      </c>
      <c r="C340" s="10" t="n">
        <v>2015</v>
      </c>
      <c r="D340" s="11" t="n">
        <v>19925.18164</v>
      </c>
      <c r="E340" s="12" t="n">
        <v>53.88699722</v>
      </c>
      <c r="F340" s="12" t="n">
        <v>100</v>
      </c>
      <c r="G340" s="12" t="n">
        <v>0</v>
      </c>
      <c r="H340" s="12" t="n">
        <v>0</v>
      </c>
      <c r="I340" s="12" t="n">
        <v>0</v>
      </c>
      <c r="J340" s="12" t="n">
        <v>100</v>
      </c>
      <c r="K340" s="12" t="n">
        <v>0</v>
      </c>
      <c r="L340" s="12" t="n">
        <v>0</v>
      </c>
      <c r="M340" s="12" t="n">
        <v>0</v>
      </c>
      <c r="N340" s="12" t="n">
        <v>100</v>
      </c>
      <c r="O340" s="12" t="n">
        <v>0</v>
      </c>
      <c r="P340" s="12" t="n">
        <v>0</v>
      </c>
      <c r="Q340" s="12" t="n">
        <v>0</v>
      </c>
      <c r="R340" s="13" t="n">
        <f aca="false">IF($A340=$A341,$C341-$C340,"")</f>
        <v>5</v>
      </c>
      <c r="S340" s="14" t="n">
        <f aca="false">IF(AND($A340=$A341,ISNUMBER(F340),ISNUMBER(F341)),(F341-F340)/($C341-$C340),"")</f>
        <v>0</v>
      </c>
      <c r="T340" s="14" t="n">
        <f aca="false">IF(AND($A340=$A341,ISNUMBER(J340),ISNUMBER(J341)),(J341-J340)/($C341-$C340),"")</f>
        <v>0</v>
      </c>
      <c r="U340" s="14" t="n">
        <f aca="false">IF(AND($A340=$A341,ISNUMBER(N340),ISNUMBER(N341)),(N341-N340)/($C341-$C340),"")</f>
        <v>0</v>
      </c>
      <c r="V340" s="13" t="n">
        <f aca="false">IF(ISNUMBER(F340),ROUND(F340,0),"")</f>
        <v>100</v>
      </c>
      <c r="W340" s="13" t="n">
        <f aca="false">IF(ISNUMBER(J340),ROUND(J340,0),"")</f>
        <v>100</v>
      </c>
      <c r="X340" s="13" t="n">
        <f aca="false">IF(ISNUMBER(N340),ROUND(N340,0),"")</f>
        <v>100</v>
      </c>
      <c r="Y340" s="10" t="str">
        <f aca="false">IF(AND($A340=$A341,V340=100,V341=100),"full access","")</f>
        <v>full access</v>
      </c>
      <c r="Z340" s="10" t="str">
        <f aca="false">IF(AND($A340=$A341,W340=100,W341=100),"full access","")</f>
        <v>full access</v>
      </c>
      <c r="AA340" s="10" t="str">
        <f aca="false">IF(AND($A340=$A341,X340=100,X341=100),"full access","")</f>
        <v>full access</v>
      </c>
      <c r="AB340" s="14" t="n">
        <f aca="false">IF(AND(ISNUMBER(T340),ISNUMBER(U340)),T340-U340,"")</f>
        <v>0</v>
      </c>
    </row>
    <row r="341" customFormat="false" ht="15" hidden="false" customHeight="false" outlineLevel="0" collapsed="false">
      <c r="A341" s="10" t="s">
        <v>252</v>
      </c>
      <c r="B341" s="10" t="str">
        <f aca="false">IFERROR(INDEX('Region Lookup'!$B$2:$B$233,MATCH(A341,'Region Lookup'!$A$2:$A$233,0)),"Not found")</f>
        <v>Europe &amp; Central Asia</v>
      </c>
      <c r="C341" s="10" t="n">
        <v>2020</v>
      </c>
      <c r="D341" s="11" t="n">
        <v>19237.68164</v>
      </c>
      <c r="E341" s="12" t="n">
        <v>54.19400024</v>
      </c>
      <c r="F341" s="12" t="n">
        <v>100</v>
      </c>
      <c r="G341" s="12" t="n">
        <v>0</v>
      </c>
      <c r="H341" s="12" t="n">
        <v>0</v>
      </c>
      <c r="I341" s="12" t="n">
        <v>0</v>
      </c>
      <c r="J341" s="12" t="n">
        <v>100</v>
      </c>
      <c r="K341" s="12" t="n">
        <v>0</v>
      </c>
      <c r="L341" s="12" t="n">
        <v>0</v>
      </c>
      <c r="M341" s="12" t="n">
        <v>0</v>
      </c>
      <c r="N341" s="12" t="n">
        <v>100</v>
      </c>
      <c r="O341" s="12" t="n">
        <v>0</v>
      </c>
      <c r="P341" s="12" t="n">
        <v>0</v>
      </c>
      <c r="Q341" s="12" t="n">
        <v>0</v>
      </c>
      <c r="R341" s="13" t="str">
        <f aca="false">IF($A341=$A342,$C342-$C341,"")</f>
        <v/>
      </c>
      <c r="S341" s="14" t="str">
        <f aca="false">IF(AND($A341=$A342,ISNUMBER(F341),ISNUMBER(F342)),(F342-F341)/($C342-$C341),"")</f>
        <v/>
      </c>
      <c r="T341" s="14" t="str">
        <f aca="false">IF(AND($A341=$A342,ISNUMBER(J341),ISNUMBER(J342)),(J342-J341)/($C342-$C341),"")</f>
        <v/>
      </c>
      <c r="U341" s="14" t="str">
        <f aca="false">IF(AND($A341=$A342,ISNUMBER(N341),ISNUMBER(N342)),(N342-N341)/($C342-$C341),"")</f>
        <v/>
      </c>
      <c r="V341" s="13" t="n">
        <f aca="false">IF(ISNUMBER(F341),ROUND(F341,0),"")</f>
        <v>100</v>
      </c>
      <c r="W341" s="13" t="n">
        <f aca="false">IF(ISNUMBER(J341),ROUND(J341,0),"")</f>
        <v>100</v>
      </c>
      <c r="X341" s="13" t="n">
        <f aca="false">IF(ISNUMBER(N341),ROUND(N341,0),"")</f>
        <v>100</v>
      </c>
      <c r="Y341" s="10" t="str">
        <f aca="false">IF(AND($A341=$A342,V341=100,V342=100),"full access","")</f>
        <v/>
      </c>
      <c r="Z341" s="10" t="str">
        <f aca="false">IF(AND($A341=$A342,W341=100,W342=100),"full access","")</f>
        <v/>
      </c>
      <c r="AA341" s="10" t="str">
        <f aca="false">IF(AND($A341=$A342,X341=100,X342=100),"full access","")</f>
        <v/>
      </c>
      <c r="AB341" s="14" t="str">
        <f aca="false">IF(AND(ISNUMBER(T341),ISNUMBER(U341)),T341-U341,"")</f>
        <v/>
      </c>
    </row>
    <row r="342" customFormat="false" ht="15" hidden="false" customHeight="false" outlineLevel="0" collapsed="false">
      <c r="A342" s="4" t="s">
        <v>253</v>
      </c>
      <c r="B342" s="4" t="str">
        <f aca="false">IFERROR(INDEX('Region Lookup'!$B$2:$B$233,MATCH(A342,'Region Lookup'!$A$2:$A$233,0)),"Not found")</f>
        <v>Europe &amp; Central Asia</v>
      </c>
      <c r="C342" s="4" t="n">
        <v>2015</v>
      </c>
      <c r="D342" s="6" t="n">
        <v>144985.0625</v>
      </c>
      <c r="E342" s="7" t="n">
        <v>74.04999542</v>
      </c>
      <c r="F342" s="7" t="n">
        <v>96.52715543</v>
      </c>
      <c r="G342" s="7" t="n">
        <v>0.6244865344</v>
      </c>
      <c r="H342" s="7" t="n">
        <v>2.848358036</v>
      </c>
      <c r="I342" s="7"/>
      <c r="J342" s="7" t="n">
        <v>90.11010901</v>
      </c>
      <c r="K342" s="7" t="n">
        <v>1.558364042</v>
      </c>
      <c r="L342" s="7" t="n">
        <v>8.331526946</v>
      </c>
      <c r="M342" s="7"/>
      <c r="N342" s="7" t="n">
        <v>98.77593489</v>
      </c>
      <c r="O342" s="7" t="n">
        <v>0.2972194631</v>
      </c>
      <c r="P342" s="7" t="n">
        <v>0.726845642</v>
      </c>
      <c r="Q342" s="7" t="n">
        <v>0.2</v>
      </c>
      <c r="R342" s="8" t="n">
        <f aca="false">IF($A342=$A343,$C343-$C342,"")</f>
        <v>5</v>
      </c>
      <c r="S342" s="9" t="n">
        <f aca="false">IF(AND($A342=$A343,ISNUMBER(F342),ISNUMBER(F343)),(F343-F342)/($C343-$C342),"")</f>
        <v>0.0930785280000009</v>
      </c>
      <c r="T342" s="9" t="n">
        <f aca="false">IF(AND($A342=$A343,ISNUMBER(J342),ISNUMBER(J343)),(J343-J342)/($C343-$C342),"")</f>
        <v>0.286798590000001</v>
      </c>
      <c r="U342" s="9" t="n">
        <f aca="false">IF(AND($A342=$A343,ISNUMBER(N342),ISNUMBER(N343)),(N343-N342)/($C343-$C342),"")</f>
        <v>0.0113329440000001</v>
      </c>
      <c r="V342" s="8" t="n">
        <f aca="false">IF(ISNUMBER(F342),ROUND(F342,0),"")</f>
        <v>97</v>
      </c>
      <c r="W342" s="8" t="n">
        <f aca="false">IF(ISNUMBER(J342),ROUND(J342,0),"")</f>
        <v>90</v>
      </c>
      <c r="X342" s="8" t="n">
        <f aca="false">IF(ISNUMBER(N342),ROUND(N342,0),"")</f>
        <v>99</v>
      </c>
      <c r="Y342" s="4" t="str">
        <f aca="false">IF(AND($A342=$A343,V342=100,V343=100),"full access","")</f>
        <v/>
      </c>
      <c r="Z342" s="4" t="str">
        <f aca="false">IF(AND($A342=$A343,W342=100,W343=100),"full access","")</f>
        <v/>
      </c>
      <c r="AA342" s="4" t="str">
        <f aca="false">IF(AND($A342=$A343,X342=100,X343=100),"full access","")</f>
        <v/>
      </c>
      <c r="AB342" s="9" t="n">
        <f aca="false">IF(AND(ISNUMBER(T342),ISNUMBER(U342)),T342-U342,"")</f>
        <v>0.275465646000001</v>
      </c>
    </row>
    <row r="343" customFormat="false" ht="15" hidden="false" customHeight="false" outlineLevel="0" collapsed="false">
      <c r="A343" s="4" t="s">
        <v>253</v>
      </c>
      <c r="B343" s="4" t="str">
        <f aca="false">IFERROR(INDEX('Region Lookup'!$B$2:$B$233,MATCH(A343,'Region Lookup'!$A$2:$A$233,0)),"Not found")</f>
        <v>Europe &amp; Central Asia</v>
      </c>
      <c r="C343" s="4" t="n">
        <v>2020</v>
      </c>
      <c r="D343" s="6" t="n">
        <v>145934.4531</v>
      </c>
      <c r="E343" s="7" t="n">
        <v>74.75400543</v>
      </c>
      <c r="F343" s="7" t="n">
        <v>96.99254807</v>
      </c>
      <c r="G343" s="7" t="n">
        <v>0.6219963766</v>
      </c>
      <c r="H343" s="7" t="n">
        <v>2.38545555</v>
      </c>
      <c r="I343" s="7"/>
      <c r="J343" s="7" t="n">
        <v>91.54410196</v>
      </c>
      <c r="K343" s="7" t="n">
        <v>1.583163513</v>
      </c>
      <c r="L343" s="7" t="n">
        <v>6.872734531</v>
      </c>
      <c r="M343" s="7"/>
      <c r="N343" s="7" t="n">
        <v>98.83259961</v>
      </c>
      <c r="O343" s="7" t="n">
        <v>0.2973899687</v>
      </c>
      <c r="P343" s="7" t="n">
        <v>0.6700104236</v>
      </c>
      <c r="Q343" s="7" t="n">
        <v>0.2</v>
      </c>
      <c r="R343" s="8" t="str">
        <f aca="false">IF($A343=$A344,$C344-$C343,"")</f>
        <v/>
      </c>
      <c r="S343" s="9" t="str">
        <f aca="false">IF(AND($A343=$A344,ISNUMBER(F343),ISNUMBER(F344)),(F344-F343)/($C344-$C343),"")</f>
        <v/>
      </c>
      <c r="T343" s="9" t="str">
        <f aca="false">IF(AND($A343=$A344,ISNUMBER(J343),ISNUMBER(J344)),(J344-J343)/($C344-$C343),"")</f>
        <v/>
      </c>
      <c r="U343" s="9" t="str">
        <f aca="false">IF(AND($A343=$A344,ISNUMBER(N343),ISNUMBER(N344)),(N344-N343)/($C344-$C343),"")</f>
        <v/>
      </c>
      <c r="V343" s="8" t="n">
        <f aca="false">IF(ISNUMBER(F343),ROUND(F343,0),"")</f>
        <v>97</v>
      </c>
      <c r="W343" s="8" t="n">
        <f aca="false">IF(ISNUMBER(J343),ROUND(J343,0),"")</f>
        <v>92</v>
      </c>
      <c r="X343" s="8" t="n">
        <f aca="false">IF(ISNUMBER(N343),ROUND(N343,0),"")</f>
        <v>99</v>
      </c>
      <c r="Y343" s="4" t="str">
        <f aca="false">IF(AND($A343=$A344,V343=100,V344=100),"full access","")</f>
        <v/>
      </c>
      <c r="Z343" s="4" t="str">
        <f aca="false">IF(AND($A343=$A344,W343=100,W344=100),"full access","")</f>
        <v/>
      </c>
      <c r="AA343" s="4" t="str">
        <f aca="false">IF(AND($A343=$A344,X343=100,X344=100),"full access","")</f>
        <v/>
      </c>
      <c r="AB343" s="9" t="str">
        <f aca="false">IF(AND(ISNUMBER(T343),ISNUMBER(U343)),T343-U343,"")</f>
        <v/>
      </c>
    </row>
    <row r="344" customFormat="false" ht="15" hidden="false" customHeight="false" outlineLevel="0" collapsed="false">
      <c r="A344" s="10" t="s">
        <v>254</v>
      </c>
      <c r="B344" s="10" t="str">
        <f aca="false">IFERROR(INDEX('Region Lookup'!$B$2:$B$233,MATCH(A344,'Region Lookup'!$A$2:$A$233,0)),"Not found")</f>
        <v>Sub-Saharan Africa</v>
      </c>
      <c r="C344" s="10" t="n">
        <v>2015</v>
      </c>
      <c r="D344" s="11" t="n">
        <v>11369.06641</v>
      </c>
      <c r="E344" s="12" t="n">
        <v>17.00399971</v>
      </c>
      <c r="F344" s="12" t="n">
        <v>57.12177402</v>
      </c>
      <c r="G344" s="12" t="n">
        <v>22.15404615</v>
      </c>
      <c r="H344" s="12" t="n">
        <v>13.45013172</v>
      </c>
      <c r="I344" s="12" t="n">
        <v>7.27404811</v>
      </c>
      <c r="J344" s="12" t="n">
        <v>52.35270956</v>
      </c>
      <c r="K344" s="12" t="n">
        <v>24.60883866</v>
      </c>
      <c r="L344" s="12" t="n">
        <v>14.98060354</v>
      </c>
      <c r="M344" s="12" t="n">
        <v>8.057848241</v>
      </c>
      <c r="N344" s="12" t="n">
        <v>80.39943738</v>
      </c>
      <c r="O344" s="12" t="n">
        <v>10.17228262</v>
      </c>
      <c r="P344" s="12" t="n">
        <v>5.979935166</v>
      </c>
      <c r="Q344" s="12" t="n">
        <v>3.448344828</v>
      </c>
      <c r="R344" s="13" t="n">
        <f aca="false">IF($A344=$A345,$C345-$C344,"")</f>
        <v>5</v>
      </c>
      <c r="S344" s="14" t="n">
        <f aca="false">IF(AND($A344=$A345,ISNUMBER(F344),ISNUMBER(F345)),(F345-F344)/($C345-$C344),"")</f>
        <v>0.658545426000001</v>
      </c>
      <c r="T344" s="14" t="n">
        <f aca="false">IF(AND($A344=$A345,ISNUMBER(J344),ISNUMBER(J345)),(J345-J344)/($C345-$C344),"")</f>
        <v>0.657951734</v>
      </c>
      <c r="U344" s="14" t="n">
        <f aca="false">IF(AND($A344=$A345,ISNUMBER(N344),ISNUMBER(N345)),(N345-N344)/($C345-$C344),"")</f>
        <v>0.523632384000001</v>
      </c>
      <c r="V344" s="13" t="n">
        <f aca="false">IF(ISNUMBER(F344),ROUND(F344,0),"")</f>
        <v>57</v>
      </c>
      <c r="W344" s="13" t="n">
        <f aca="false">IF(ISNUMBER(J344),ROUND(J344,0),"")</f>
        <v>52</v>
      </c>
      <c r="X344" s="13" t="n">
        <f aca="false">IF(ISNUMBER(N344),ROUND(N344,0),"")</f>
        <v>80</v>
      </c>
      <c r="Y344" s="10" t="str">
        <f aca="false">IF(AND($A344=$A345,V344=100,V345=100),"full access","")</f>
        <v/>
      </c>
      <c r="Z344" s="10" t="str">
        <f aca="false">IF(AND($A344=$A345,W344=100,W345=100),"full access","")</f>
        <v/>
      </c>
      <c r="AA344" s="10" t="str">
        <f aca="false">IF(AND($A344=$A345,X344=100,X345=100),"full access","")</f>
        <v/>
      </c>
      <c r="AB344" s="14" t="n">
        <f aca="false">IF(AND(ISNUMBER(T344),ISNUMBER(U344)),T344-U344,"")</f>
        <v>0.134319349999998</v>
      </c>
    </row>
    <row r="345" customFormat="false" ht="15" hidden="false" customHeight="false" outlineLevel="0" collapsed="false">
      <c r="A345" s="10" t="s">
        <v>254</v>
      </c>
      <c r="B345" s="10" t="str">
        <f aca="false">IFERROR(INDEX('Region Lookup'!$B$2:$B$233,MATCH(A345,'Region Lookup'!$A$2:$A$233,0)),"Not found")</f>
        <v>Sub-Saharan Africa</v>
      </c>
      <c r="C345" s="10" t="n">
        <v>2020</v>
      </c>
      <c r="D345" s="11" t="n">
        <v>12952.20898</v>
      </c>
      <c r="E345" s="12" t="n">
        <v>17.43200111</v>
      </c>
      <c r="F345" s="12" t="n">
        <v>60.41450115</v>
      </c>
      <c r="G345" s="12" t="n">
        <v>22.3207193</v>
      </c>
      <c r="H345" s="12" t="n">
        <v>13.15480415</v>
      </c>
      <c r="I345" s="12" t="n">
        <v>4.109975401</v>
      </c>
      <c r="J345" s="12" t="n">
        <v>55.64246823</v>
      </c>
      <c r="K345" s="12" t="n">
        <v>25.08014133</v>
      </c>
      <c r="L345" s="12" t="n">
        <v>14.77886772</v>
      </c>
      <c r="M345" s="12" t="n">
        <v>4.498522714</v>
      </c>
      <c r="N345" s="12" t="n">
        <v>83.0175993</v>
      </c>
      <c r="O345" s="12" t="n">
        <v>9.250506251</v>
      </c>
      <c r="P345" s="12" t="n">
        <v>5.462303057</v>
      </c>
      <c r="Q345" s="12" t="n">
        <v>2.269591394</v>
      </c>
      <c r="R345" s="13" t="str">
        <f aca="false">IF($A345=$A346,$C346-$C345,"")</f>
        <v/>
      </c>
      <c r="S345" s="14" t="str">
        <f aca="false">IF(AND($A345=$A346,ISNUMBER(F345),ISNUMBER(F346)),(F346-F345)/($C346-$C345),"")</f>
        <v/>
      </c>
      <c r="T345" s="14" t="str">
        <f aca="false">IF(AND($A345=$A346,ISNUMBER(J345),ISNUMBER(J346)),(J346-J345)/($C346-$C345),"")</f>
        <v/>
      </c>
      <c r="U345" s="14" t="str">
        <f aca="false">IF(AND($A345=$A346,ISNUMBER(N345),ISNUMBER(N346)),(N346-N345)/($C346-$C345),"")</f>
        <v/>
      </c>
      <c r="V345" s="13" t="n">
        <f aca="false">IF(ISNUMBER(F345),ROUND(F345,0),"")</f>
        <v>60</v>
      </c>
      <c r="W345" s="13" t="n">
        <f aca="false">IF(ISNUMBER(J345),ROUND(J345,0),"")</f>
        <v>56</v>
      </c>
      <c r="X345" s="13" t="n">
        <f aca="false">IF(ISNUMBER(N345),ROUND(N345,0),"")</f>
        <v>83</v>
      </c>
      <c r="Y345" s="10" t="str">
        <f aca="false">IF(AND($A345=$A346,V345=100,V346=100),"full access","")</f>
        <v/>
      </c>
      <c r="Z345" s="10" t="str">
        <f aca="false">IF(AND($A345=$A346,W345=100,W346=100),"full access","")</f>
        <v/>
      </c>
      <c r="AA345" s="10" t="str">
        <f aca="false">IF(AND($A345=$A346,X345=100,X346=100),"full access","")</f>
        <v/>
      </c>
      <c r="AB345" s="14" t="str">
        <f aca="false">IF(AND(ISNUMBER(T345),ISNUMBER(U345)),T345-U345,"")</f>
        <v/>
      </c>
    </row>
    <row r="346" customFormat="false" ht="15" hidden="false" customHeight="false" outlineLevel="0" collapsed="false">
      <c r="A346" s="4" t="s">
        <v>255</v>
      </c>
      <c r="B346" s="4" t="str">
        <f aca="false">IFERROR(INDEX('Region Lookup'!$B$2:$B$233,MATCH(A346,'Region Lookup'!$A$2:$A$233,0)),"Not found")</f>
        <v>Latin America &amp; Caribbean</v>
      </c>
      <c r="C346" s="4" t="n">
        <v>2015</v>
      </c>
      <c r="D346" s="6" t="n">
        <v>9.696</v>
      </c>
      <c r="E346" s="7" t="n">
        <v>100</v>
      </c>
      <c r="F346" s="7" t="n">
        <v>99.96491927</v>
      </c>
      <c r="G346" s="7" t="n">
        <v>0</v>
      </c>
      <c r="H346" s="7" t="n">
        <v>0.0350807263</v>
      </c>
      <c r="I346" s="7" t="n">
        <v>0</v>
      </c>
      <c r="J346" s="7"/>
      <c r="K346" s="7"/>
      <c r="L346" s="7"/>
      <c r="M346" s="7"/>
      <c r="N346" s="7" t="n">
        <v>99.96491927</v>
      </c>
      <c r="O346" s="7" t="n">
        <v>0</v>
      </c>
      <c r="P346" s="7" t="n">
        <v>0.0350807263</v>
      </c>
      <c r="Q346" s="7" t="n">
        <v>0</v>
      </c>
      <c r="R346" s="8" t="n">
        <f aca="false">IF($A346=$A347,$C347-$C346,"")</f>
        <v>5</v>
      </c>
      <c r="S346" s="9" t="n">
        <f aca="false">IF(AND($A346=$A347,ISNUMBER(F346),ISNUMBER(F347)),(F347-F346)/($C347-$C346),"")</f>
        <v>0.00701614600000085</v>
      </c>
      <c r="T346" s="9" t="str">
        <f aca="false">IF(AND($A346=$A347,ISNUMBER(J346),ISNUMBER(J347)),(J347-J346)/($C347-$C346),"")</f>
        <v/>
      </c>
      <c r="U346" s="9" t="n">
        <f aca="false">IF(AND($A346=$A347,ISNUMBER(N346),ISNUMBER(N347)),(N347-N346)/($C347-$C346),"")</f>
        <v>0.00701614600000085</v>
      </c>
      <c r="V346" s="8" t="n">
        <f aca="false">IF(ISNUMBER(F346),ROUND(F346,0),"")</f>
        <v>100</v>
      </c>
      <c r="W346" s="8" t="str">
        <f aca="false">IF(ISNUMBER(J346),ROUND(J346,0),"")</f>
        <v/>
      </c>
      <c r="X346" s="8" t="n">
        <f aca="false">IF(ISNUMBER(N346),ROUND(N346,0),"")</f>
        <v>100</v>
      </c>
      <c r="Y346" s="4" t="str">
        <f aca="false">IF(AND($A346=$A347,V346=100,V347=100),"full access","")</f>
        <v>full access</v>
      </c>
      <c r="Z346" s="4" t="str">
        <f aca="false">IF(AND($A346=$A347,W346=100,W347=100),"full access","")</f>
        <v/>
      </c>
      <c r="AA346" s="4" t="str">
        <f aca="false">IF(AND($A346=$A347,X346=100,X347=100),"full access","")</f>
        <v>full access</v>
      </c>
      <c r="AB346" s="9" t="str">
        <f aca="false">IF(AND(ISNUMBER(T346),ISNUMBER(U346)),T346-U346,"")</f>
        <v/>
      </c>
    </row>
    <row r="347" customFormat="false" ht="15" hidden="false" customHeight="false" outlineLevel="0" collapsed="false">
      <c r="A347" s="4" t="s">
        <v>255</v>
      </c>
      <c r="B347" s="4" t="str">
        <f aca="false">IFERROR(INDEX('Region Lookup'!$B$2:$B$233,MATCH(A347,'Region Lookup'!$A$2:$A$233,0)),"Not found")</f>
        <v>Latin America &amp; Caribbean</v>
      </c>
      <c r="C347" s="4" t="n">
        <v>2020</v>
      </c>
      <c r="D347" s="6" t="n">
        <v>9.885</v>
      </c>
      <c r="E347" s="7" t="n">
        <v>100</v>
      </c>
      <c r="F347" s="7" t="n">
        <v>100</v>
      </c>
      <c r="G347" s="7" t="n">
        <v>0</v>
      </c>
      <c r="H347" s="7" t="n">
        <v>0</v>
      </c>
      <c r="I347" s="7" t="n">
        <v>0</v>
      </c>
      <c r="J347" s="7"/>
      <c r="K347" s="7"/>
      <c r="L347" s="7"/>
      <c r="M347" s="7"/>
      <c r="N347" s="7" t="n">
        <v>100</v>
      </c>
      <c r="O347" s="7" t="n">
        <v>0</v>
      </c>
      <c r="P347" s="7" t="n">
        <v>0</v>
      </c>
      <c r="Q347" s="7" t="n">
        <v>0</v>
      </c>
      <c r="R347" s="8" t="str">
        <f aca="false">IF($A347=$A348,$C348-$C347,"")</f>
        <v/>
      </c>
      <c r="S347" s="9" t="str">
        <f aca="false">IF(AND($A347=$A348,ISNUMBER(F347),ISNUMBER(F348)),(F348-F347)/($C348-$C347),"")</f>
        <v/>
      </c>
      <c r="T347" s="9" t="str">
        <f aca="false">IF(AND($A347=$A348,ISNUMBER(J347),ISNUMBER(J348)),(J348-J347)/($C348-$C347),"")</f>
        <v/>
      </c>
      <c r="U347" s="9" t="str">
        <f aca="false">IF(AND($A347=$A348,ISNUMBER(N347),ISNUMBER(N348)),(N348-N347)/($C348-$C347),"")</f>
        <v/>
      </c>
      <c r="V347" s="8" t="n">
        <f aca="false">IF(ISNUMBER(F347),ROUND(F347,0),"")</f>
        <v>100</v>
      </c>
      <c r="W347" s="8" t="str">
        <f aca="false">IF(ISNUMBER(J347),ROUND(J347,0),"")</f>
        <v/>
      </c>
      <c r="X347" s="8" t="n">
        <f aca="false">IF(ISNUMBER(N347),ROUND(N347,0),"")</f>
        <v>100</v>
      </c>
      <c r="Y347" s="4" t="str">
        <f aca="false">IF(AND($A347=$A348,V347=100,V348=100),"full access","")</f>
        <v/>
      </c>
      <c r="Z347" s="4" t="str">
        <f aca="false">IF(AND($A347=$A348,W347=100,W348=100),"full access","")</f>
        <v/>
      </c>
      <c r="AA347" s="4" t="str">
        <f aca="false">IF(AND($A347=$A348,X347=100,X348=100),"full access","")</f>
        <v/>
      </c>
      <c r="AB347" s="9" t="str">
        <f aca="false">IF(AND(ISNUMBER(T347),ISNUMBER(U347)),T347-U347,"")</f>
        <v/>
      </c>
    </row>
    <row r="348" customFormat="false" ht="15" hidden="false" customHeight="false" outlineLevel="0" collapsed="false">
      <c r="A348" s="10" t="s">
        <v>256</v>
      </c>
      <c r="B348" s="10" t="str">
        <f aca="false">IFERROR(INDEX('Region Lookup'!$B$2:$B$233,MATCH(A348,'Region Lookup'!$A$2:$A$233,0)),"Not found")</f>
        <v>Sub-Saharan Africa</v>
      </c>
      <c r="C348" s="10" t="n">
        <v>2015</v>
      </c>
      <c r="D348" s="11" t="n">
        <v>5.868999958</v>
      </c>
      <c r="E348" s="12" t="n">
        <v>39.5399971</v>
      </c>
      <c r="F348" s="12" t="n">
        <v>98.95</v>
      </c>
      <c r="G348" s="12" t="n">
        <v>0</v>
      </c>
      <c r="H348" s="12" t="n">
        <v>1.05</v>
      </c>
      <c r="I348" s="12" t="n">
        <v>0</v>
      </c>
      <c r="J348" s="12"/>
      <c r="K348" s="12"/>
      <c r="L348" s="12"/>
      <c r="M348" s="12"/>
      <c r="N348" s="12"/>
      <c r="O348" s="12"/>
      <c r="P348" s="12"/>
      <c r="Q348" s="12"/>
      <c r="R348" s="13" t="n">
        <f aca="false">IF($A348=$A349,$C349-$C348,"")</f>
        <v>5</v>
      </c>
      <c r="S348" s="14" t="n">
        <f aca="false">IF(AND($A348=$A349,ISNUMBER(F348),ISNUMBER(F349)),(F349-F348)/($C349-$C348),"")</f>
        <v>0.0299999999999983</v>
      </c>
      <c r="T348" s="14" t="str">
        <f aca="false">IF(AND($A348=$A349,ISNUMBER(J348),ISNUMBER(J349)),(J349-J348)/($C349-$C348),"")</f>
        <v/>
      </c>
      <c r="U348" s="14" t="str">
        <f aca="false">IF(AND($A348=$A349,ISNUMBER(N348),ISNUMBER(N349)),(N349-N348)/($C349-$C348),"")</f>
        <v/>
      </c>
      <c r="V348" s="13" t="n">
        <f aca="false">IF(ISNUMBER(F348),ROUND(F348,0),"")</f>
        <v>99</v>
      </c>
      <c r="W348" s="13" t="str">
        <f aca="false">IF(ISNUMBER(J348),ROUND(J348,0),"")</f>
        <v/>
      </c>
      <c r="X348" s="13" t="str">
        <f aca="false">IF(ISNUMBER(N348),ROUND(N348,0),"")</f>
        <v/>
      </c>
      <c r="Y348" s="10" t="str">
        <f aca="false">IF(AND($A348=$A349,V348=100,V349=100),"full access","")</f>
        <v/>
      </c>
      <c r="Z348" s="10" t="str">
        <f aca="false">IF(AND($A348=$A349,W348=100,W349=100),"full access","")</f>
        <v/>
      </c>
      <c r="AA348" s="10" t="str">
        <f aca="false">IF(AND($A348=$A349,X348=100,X349=100),"full access","")</f>
        <v/>
      </c>
      <c r="AB348" s="14" t="str">
        <f aca="false">IF(AND(ISNUMBER(T348),ISNUMBER(U348)),T348-U348,"")</f>
        <v/>
      </c>
    </row>
    <row r="349" customFormat="false" ht="15" hidden="false" customHeight="false" outlineLevel="0" collapsed="false">
      <c r="A349" s="10" t="s">
        <v>256</v>
      </c>
      <c r="B349" s="10" t="str">
        <f aca="false">IFERROR(INDEX('Region Lookup'!$B$2:$B$233,MATCH(A349,'Region Lookup'!$A$2:$A$233,0)),"Not found")</f>
        <v>Sub-Saharan Africa</v>
      </c>
      <c r="C349" s="10" t="n">
        <v>2020</v>
      </c>
      <c r="D349" s="11" t="n">
        <v>6.071000099</v>
      </c>
      <c r="E349" s="12" t="n">
        <v>40.08200073</v>
      </c>
      <c r="F349" s="12" t="n">
        <v>99.1</v>
      </c>
      <c r="G349" s="12" t="n">
        <v>0</v>
      </c>
      <c r="H349" s="12" t="n">
        <v>0.9</v>
      </c>
      <c r="I349" s="12" t="n">
        <v>0</v>
      </c>
      <c r="J349" s="12"/>
      <c r="K349" s="12"/>
      <c r="L349" s="12"/>
      <c r="M349" s="12"/>
      <c r="N349" s="12"/>
      <c r="O349" s="12"/>
      <c r="P349" s="12"/>
      <c r="Q349" s="12"/>
      <c r="R349" s="13" t="str">
        <f aca="false">IF($A349=$A350,$C350-$C349,"")</f>
        <v/>
      </c>
      <c r="S349" s="14" t="str">
        <f aca="false">IF(AND($A349=$A350,ISNUMBER(F349),ISNUMBER(F350)),(F350-F349)/($C350-$C349),"")</f>
        <v/>
      </c>
      <c r="T349" s="14" t="str">
        <f aca="false">IF(AND($A349=$A350,ISNUMBER(J349),ISNUMBER(J350)),(J350-J349)/($C350-$C349),"")</f>
        <v/>
      </c>
      <c r="U349" s="14" t="str">
        <f aca="false">IF(AND($A349=$A350,ISNUMBER(N349),ISNUMBER(N350)),(N350-N349)/($C350-$C349),"")</f>
        <v/>
      </c>
      <c r="V349" s="13" t="n">
        <f aca="false">IF(ISNUMBER(F349),ROUND(F349,0),"")</f>
        <v>99</v>
      </c>
      <c r="W349" s="13" t="str">
        <f aca="false">IF(ISNUMBER(J349),ROUND(J349,0),"")</f>
        <v/>
      </c>
      <c r="X349" s="13" t="str">
        <f aca="false">IF(ISNUMBER(N349),ROUND(N349,0),"")</f>
        <v/>
      </c>
      <c r="Y349" s="10" t="str">
        <f aca="false">IF(AND($A349=$A350,V349=100,V350=100),"full access","")</f>
        <v/>
      </c>
      <c r="Z349" s="10" t="str">
        <f aca="false">IF(AND($A349=$A350,W349=100,W350=100),"full access","")</f>
        <v/>
      </c>
      <c r="AA349" s="10" t="str">
        <f aca="false">IF(AND($A349=$A350,X349=100,X350=100),"full access","")</f>
        <v/>
      </c>
      <c r="AB349" s="14" t="str">
        <f aca="false">IF(AND(ISNUMBER(T349),ISNUMBER(U349)),T349-U349,"")</f>
        <v/>
      </c>
    </row>
    <row r="350" customFormat="false" ht="15" hidden="false" customHeight="false" outlineLevel="0" collapsed="false">
      <c r="A350" s="4" t="s">
        <v>257</v>
      </c>
      <c r="B350" s="4" t="str">
        <f aca="false">IFERROR(INDEX('Region Lookup'!$B$2:$B$233,MATCH(A350,'Region Lookup'!$A$2:$A$233,0)),"Not found")</f>
        <v>Latin America &amp; Caribbean</v>
      </c>
      <c r="C350" s="4" t="n">
        <v>2015</v>
      </c>
      <c r="D350" s="6" t="n">
        <v>51.20399857</v>
      </c>
      <c r="E350" s="7" t="n">
        <v>30.82700157</v>
      </c>
      <c r="F350" s="7" t="n">
        <v>98.61185413</v>
      </c>
      <c r="G350" s="7" t="n">
        <v>0</v>
      </c>
      <c r="H350" s="7" t="n">
        <v>1.388145868</v>
      </c>
      <c r="I350" s="7" t="n">
        <v>0</v>
      </c>
      <c r="J350" s="7"/>
      <c r="K350" s="7"/>
      <c r="L350" s="7"/>
      <c r="M350" s="7"/>
      <c r="N350" s="7"/>
      <c r="O350" s="7"/>
      <c r="P350" s="7"/>
      <c r="Q350" s="7"/>
      <c r="R350" s="8" t="n">
        <f aca="false">IF($A350=$A351,$C351-$C350,"")</f>
        <v>2</v>
      </c>
      <c r="S350" s="9" t="n">
        <f aca="false">IF(AND($A350=$A351,ISNUMBER(F350),ISNUMBER(F351)),(F351-F350)/($C351-$C350),"")</f>
        <v>0</v>
      </c>
      <c r="T350" s="9" t="str">
        <f aca="false">IF(AND($A350=$A351,ISNUMBER(J350),ISNUMBER(J351)),(J351-J350)/($C351-$C350),"")</f>
        <v/>
      </c>
      <c r="U350" s="9" t="str">
        <f aca="false">IF(AND($A350=$A351,ISNUMBER(N350),ISNUMBER(N351)),(N351-N350)/($C351-$C350),"")</f>
        <v/>
      </c>
      <c r="V350" s="8" t="n">
        <f aca="false">IF(ISNUMBER(F350),ROUND(F350,0),"")</f>
        <v>99</v>
      </c>
      <c r="W350" s="8" t="str">
        <f aca="false">IF(ISNUMBER(J350),ROUND(J350,0),"")</f>
        <v/>
      </c>
      <c r="X350" s="8" t="str">
        <f aca="false">IF(ISNUMBER(N350),ROUND(N350,0),"")</f>
        <v/>
      </c>
      <c r="Y350" s="4" t="str">
        <f aca="false">IF(AND($A350=$A351,V350=100,V351=100),"full access","")</f>
        <v/>
      </c>
      <c r="Z350" s="4" t="str">
        <f aca="false">IF(AND($A350=$A351,W350=100,W351=100),"full access","")</f>
        <v/>
      </c>
      <c r="AA350" s="4" t="str">
        <f aca="false">IF(AND($A350=$A351,X350=100,X351=100),"full access","")</f>
        <v/>
      </c>
      <c r="AB350" s="9" t="str">
        <f aca="false">IF(AND(ISNUMBER(T350),ISNUMBER(U350)),T350-U350,"")</f>
        <v/>
      </c>
    </row>
    <row r="351" customFormat="false" ht="15" hidden="false" customHeight="false" outlineLevel="0" collapsed="false">
      <c r="A351" s="4" t="s">
        <v>257</v>
      </c>
      <c r="B351" s="4" t="str">
        <f aca="false">IFERROR(INDEX('Region Lookup'!$B$2:$B$233,MATCH(A351,'Region Lookup'!$A$2:$A$233,0)),"Not found")</f>
        <v>Latin America &amp; Caribbean</v>
      </c>
      <c r="C351" s="4" t="n">
        <v>2017</v>
      </c>
      <c r="D351" s="6" t="n">
        <v>52.0359993</v>
      </c>
      <c r="E351" s="7" t="n">
        <v>30.7729969</v>
      </c>
      <c r="F351" s="7" t="n">
        <v>98.61185413</v>
      </c>
      <c r="G351" s="7" t="n">
        <v>0</v>
      </c>
      <c r="H351" s="7" t="n">
        <v>1.388145868</v>
      </c>
      <c r="I351" s="7" t="n">
        <v>0</v>
      </c>
      <c r="J351" s="7"/>
      <c r="K351" s="7"/>
      <c r="L351" s="7"/>
      <c r="M351" s="7"/>
      <c r="N351" s="7"/>
      <c r="O351" s="7"/>
      <c r="P351" s="7"/>
      <c r="Q351" s="7"/>
      <c r="R351" s="8" t="str">
        <f aca="false">IF($A351=$A352,$C352-$C351,"")</f>
        <v/>
      </c>
      <c r="S351" s="9" t="str">
        <f aca="false">IF(AND($A351=$A352,ISNUMBER(F351),ISNUMBER(F352)),(F352-F351)/($C352-$C351),"")</f>
        <v/>
      </c>
      <c r="T351" s="9" t="str">
        <f aca="false">IF(AND($A351=$A352,ISNUMBER(J351),ISNUMBER(J352)),(J352-J351)/($C352-$C351),"")</f>
        <v/>
      </c>
      <c r="U351" s="9" t="str">
        <f aca="false">IF(AND($A351=$A352,ISNUMBER(N351),ISNUMBER(N352)),(N352-N351)/($C352-$C351),"")</f>
        <v/>
      </c>
      <c r="V351" s="8" t="n">
        <f aca="false">IF(ISNUMBER(F351),ROUND(F351,0),"")</f>
        <v>99</v>
      </c>
      <c r="W351" s="8" t="str">
        <f aca="false">IF(ISNUMBER(J351),ROUND(J351,0),"")</f>
        <v/>
      </c>
      <c r="X351" s="8" t="str">
        <f aca="false">IF(ISNUMBER(N351),ROUND(N351,0),"")</f>
        <v/>
      </c>
      <c r="Y351" s="4" t="str">
        <f aca="false">IF(AND($A351=$A352,V351=100,V352=100),"full access","")</f>
        <v/>
      </c>
      <c r="Z351" s="4" t="str">
        <f aca="false">IF(AND($A351=$A352,W351=100,W352=100),"full access","")</f>
        <v/>
      </c>
      <c r="AA351" s="4" t="str">
        <f aca="false">IF(AND($A351=$A352,X351=100,X352=100),"full access","")</f>
        <v/>
      </c>
      <c r="AB351" s="9" t="str">
        <f aca="false">IF(AND(ISNUMBER(T351),ISNUMBER(U351)),T351-U351,"")</f>
        <v/>
      </c>
    </row>
    <row r="352" customFormat="false" ht="15" hidden="false" customHeight="false" outlineLevel="0" collapsed="false">
      <c r="A352" s="10" t="s">
        <v>258</v>
      </c>
      <c r="B352" s="10" t="str">
        <f aca="false">IFERROR(INDEX('Region Lookup'!$B$2:$B$233,MATCH(A352,'Region Lookup'!$A$2:$A$233,0)),"Not found")</f>
        <v>Latin America &amp; Caribbean</v>
      </c>
      <c r="C352" s="10" t="n">
        <v>2015</v>
      </c>
      <c r="D352" s="11" t="n">
        <v>179.1309967</v>
      </c>
      <c r="E352" s="12" t="n">
        <v>18.51499939</v>
      </c>
      <c r="F352" s="12" t="n">
        <v>95.56809428</v>
      </c>
      <c r="G352" s="12" t="n">
        <v>1.790210415</v>
      </c>
      <c r="H352" s="12" t="n">
        <v>2.641695303</v>
      </c>
      <c r="I352" s="12" t="n">
        <v>0</v>
      </c>
      <c r="J352" s="12" t="n">
        <v>95.31226124</v>
      </c>
      <c r="K352" s="12" t="n">
        <v>1.707252381</v>
      </c>
      <c r="L352" s="12" t="n">
        <v>2.980486378</v>
      </c>
      <c r="M352" s="12" t="n">
        <v>0</v>
      </c>
      <c r="N352" s="12" t="n">
        <v>96.69403318</v>
      </c>
      <c r="O352" s="12" t="n">
        <v>2.155311103</v>
      </c>
      <c r="P352" s="12" t="n">
        <v>1.150655713</v>
      </c>
      <c r="Q352" s="12" t="n">
        <v>0</v>
      </c>
      <c r="R352" s="13" t="n">
        <f aca="false">IF($A352=$A353,$C353-$C352,"")</f>
        <v>5</v>
      </c>
      <c r="S352" s="14" t="n">
        <f aca="false">IF(AND($A352=$A353,ISNUMBER(F352),ISNUMBER(F353)),(F353-F352)/($C353-$C352),"")</f>
        <v>0.263950058</v>
      </c>
      <c r="T352" s="14" t="n">
        <f aca="false">IF(AND($A352=$A353,ISNUMBER(J352),ISNUMBER(J353)),(J353-J352)/($C353-$C352),"")</f>
        <v>0.300352518</v>
      </c>
      <c r="U352" s="14" t="n">
        <f aca="false">IF(AND($A352=$A353,ISNUMBER(N352),ISNUMBER(N353)),(N353-N352)/($C353-$C352),"")</f>
        <v>0.102357802</v>
      </c>
      <c r="V352" s="13" t="n">
        <f aca="false">IF(ISNUMBER(F352),ROUND(F352,0),"")</f>
        <v>96</v>
      </c>
      <c r="W352" s="13" t="n">
        <f aca="false">IF(ISNUMBER(J352),ROUND(J352,0),"")</f>
        <v>95</v>
      </c>
      <c r="X352" s="13" t="n">
        <f aca="false">IF(ISNUMBER(N352),ROUND(N352,0),"")</f>
        <v>97</v>
      </c>
      <c r="Y352" s="10" t="str">
        <f aca="false">IF(AND($A352=$A353,V352=100,V353=100),"full access","")</f>
        <v/>
      </c>
      <c r="Z352" s="10" t="str">
        <f aca="false">IF(AND($A352=$A353,W352=100,W353=100),"full access","")</f>
        <v/>
      </c>
      <c r="AA352" s="10" t="str">
        <f aca="false">IF(AND($A352=$A353,X352=100,X353=100),"full access","")</f>
        <v/>
      </c>
      <c r="AB352" s="14" t="n">
        <f aca="false">IF(AND(ISNUMBER(T352),ISNUMBER(U352)),T352-U352,"")</f>
        <v>0.197994715999999</v>
      </c>
    </row>
    <row r="353" customFormat="false" ht="15" hidden="false" customHeight="false" outlineLevel="0" collapsed="false">
      <c r="A353" s="10" t="s">
        <v>258</v>
      </c>
      <c r="B353" s="10" t="str">
        <f aca="false">IFERROR(INDEX('Region Lookup'!$B$2:$B$233,MATCH(A353,'Region Lookup'!$A$2:$A$233,0)),"Not found")</f>
        <v>Latin America &amp; Caribbean</v>
      </c>
      <c r="C353" s="10" t="n">
        <v>2020</v>
      </c>
      <c r="D353" s="11" t="n">
        <v>183.6289978</v>
      </c>
      <c r="E353" s="12" t="n">
        <v>18.8409996</v>
      </c>
      <c r="F353" s="12" t="n">
        <v>96.88784457</v>
      </c>
      <c r="G353" s="12" t="n">
        <v>1.815652166</v>
      </c>
      <c r="H353" s="12" t="n">
        <v>1.296503269</v>
      </c>
      <c r="I353" s="12" t="n">
        <v>0</v>
      </c>
      <c r="J353" s="12" t="n">
        <v>96.81402383</v>
      </c>
      <c r="K353" s="12" t="n">
        <v>1.734152255</v>
      </c>
      <c r="L353" s="12" t="n">
        <v>1.451823918</v>
      </c>
      <c r="M353" s="12" t="n">
        <v>0</v>
      </c>
      <c r="N353" s="12" t="n">
        <v>97.20582219</v>
      </c>
      <c r="O353" s="12" t="n">
        <v>2.166718886</v>
      </c>
      <c r="P353" s="12" t="n">
        <v>0.6274589237</v>
      </c>
      <c r="Q353" s="12" t="n">
        <v>0</v>
      </c>
      <c r="R353" s="13" t="str">
        <f aca="false">IF($A353=$A354,$C354-$C353,"")</f>
        <v/>
      </c>
      <c r="S353" s="14" t="str">
        <f aca="false">IF(AND($A353=$A354,ISNUMBER(F353),ISNUMBER(F354)),(F354-F353)/($C354-$C353),"")</f>
        <v/>
      </c>
      <c r="T353" s="14" t="str">
        <f aca="false">IF(AND($A353=$A354,ISNUMBER(J353),ISNUMBER(J354)),(J354-J353)/($C354-$C353),"")</f>
        <v/>
      </c>
      <c r="U353" s="14" t="str">
        <f aca="false">IF(AND($A353=$A354,ISNUMBER(N353),ISNUMBER(N354)),(N354-N353)/($C354-$C353),"")</f>
        <v/>
      </c>
      <c r="V353" s="13" t="n">
        <f aca="false">IF(ISNUMBER(F353),ROUND(F353,0),"")</f>
        <v>97</v>
      </c>
      <c r="W353" s="13" t="n">
        <f aca="false">IF(ISNUMBER(J353),ROUND(J353,0),"")</f>
        <v>97</v>
      </c>
      <c r="X353" s="13" t="n">
        <f aca="false">IF(ISNUMBER(N353),ROUND(N353,0),"")</f>
        <v>97</v>
      </c>
      <c r="Y353" s="10" t="str">
        <f aca="false">IF(AND($A353=$A354,V353=100,V354=100),"full access","")</f>
        <v/>
      </c>
      <c r="Z353" s="10" t="str">
        <f aca="false">IF(AND($A353=$A354,W353=100,W354=100),"full access","")</f>
        <v/>
      </c>
      <c r="AA353" s="10" t="str">
        <f aca="false">IF(AND($A353=$A354,X353=100,X354=100),"full access","")</f>
        <v/>
      </c>
      <c r="AB353" s="14" t="str">
        <f aca="false">IF(AND(ISNUMBER(T353),ISNUMBER(U353)),T353-U353,"")</f>
        <v/>
      </c>
    </row>
    <row r="354" customFormat="false" ht="15" hidden="false" customHeight="false" outlineLevel="0" collapsed="false">
      <c r="A354" s="4" t="s">
        <v>259</v>
      </c>
      <c r="B354" s="4" t="str">
        <f aca="false">IFERROR(INDEX('Region Lookup'!$B$2:$B$233,MATCH(A354,'Region Lookup'!$A$2:$A$233,0)),"Not found")</f>
        <v>Latin America &amp; Caribbean</v>
      </c>
      <c r="C354" s="4" t="n">
        <v>2015</v>
      </c>
      <c r="D354" s="6" t="n">
        <v>35.865</v>
      </c>
      <c r="E354" s="7" t="n">
        <v>100</v>
      </c>
      <c r="F354" s="7" t="n">
        <v>99.9997742</v>
      </c>
      <c r="G354" s="7" t="n">
        <v>0</v>
      </c>
      <c r="H354" s="7" t="n">
        <v>0.0002258038882</v>
      </c>
      <c r="I354" s="7" t="n">
        <v>0</v>
      </c>
      <c r="J354" s="7"/>
      <c r="K354" s="7"/>
      <c r="L354" s="7"/>
      <c r="M354" s="7"/>
      <c r="N354" s="7" t="n">
        <v>99.9997742</v>
      </c>
      <c r="O354" s="7" t="n">
        <v>0</v>
      </c>
      <c r="P354" s="7" t="n">
        <v>0.0002258038882</v>
      </c>
      <c r="Q354" s="7" t="n">
        <v>0</v>
      </c>
      <c r="R354" s="8" t="n">
        <f aca="false">IF($A354=$A355,$C355-$C354,"")</f>
        <v>5</v>
      </c>
      <c r="S354" s="9" t="n">
        <f aca="false">IF(AND($A354=$A355,ISNUMBER(F354),ISNUMBER(F355)),(F355-F354)/($C355-$C354),"")</f>
        <v>-0.000100562000000082</v>
      </c>
      <c r="T354" s="9" t="str">
        <f aca="false">IF(AND($A354=$A355,ISNUMBER(J354),ISNUMBER(J355)),(J355-J354)/($C355-$C354),"")</f>
        <v/>
      </c>
      <c r="U354" s="9" t="n">
        <f aca="false">IF(AND($A354=$A355,ISNUMBER(N354),ISNUMBER(N355)),(N355-N354)/($C355-$C354),"")</f>
        <v>-0.000100562000000082</v>
      </c>
      <c r="V354" s="8" t="n">
        <f aca="false">IF(ISNUMBER(F354),ROUND(F354,0),"")</f>
        <v>100</v>
      </c>
      <c r="W354" s="8" t="str">
        <f aca="false">IF(ISNUMBER(J354),ROUND(J354,0),"")</f>
        <v/>
      </c>
      <c r="X354" s="8" t="n">
        <f aca="false">IF(ISNUMBER(N354),ROUND(N354,0),"")</f>
        <v>100</v>
      </c>
      <c r="Y354" s="4" t="str">
        <f aca="false">IF(AND($A354=$A355,V354=100,V355=100),"full access","")</f>
        <v>full access</v>
      </c>
      <c r="Z354" s="4" t="str">
        <f aca="false">IF(AND($A354=$A355,W354=100,W355=100),"full access","")</f>
        <v/>
      </c>
      <c r="AA354" s="4" t="str">
        <f aca="false">IF(AND($A354=$A355,X354=100,X355=100),"full access","")</f>
        <v>full access</v>
      </c>
      <c r="AB354" s="9" t="str">
        <f aca="false">IF(AND(ISNUMBER(T354),ISNUMBER(U354)),T354-U354,"")</f>
        <v/>
      </c>
    </row>
    <row r="355" customFormat="false" ht="15" hidden="false" customHeight="false" outlineLevel="0" collapsed="false">
      <c r="A355" s="4" t="s">
        <v>259</v>
      </c>
      <c r="B355" s="4" t="str">
        <f aca="false">IFERROR(INDEX('Region Lookup'!$B$2:$B$233,MATCH(A355,'Region Lookup'!$A$2:$A$233,0)),"Not found")</f>
        <v>Latin America &amp; Caribbean</v>
      </c>
      <c r="C355" s="4" t="n">
        <v>2020</v>
      </c>
      <c r="D355" s="6" t="n">
        <v>38.659</v>
      </c>
      <c r="E355" s="7" t="n">
        <v>100</v>
      </c>
      <c r="F355" s="7" t="n">
        <v>99.99927139</v>
      </c>
      <c r="G355" s="7" t="n">
        <v>0</v>
      </c>
      <c r="H355" s="7" t="n">
        <v>0.0007286105507</v>
      </c>
      <c r="I355" s="7" t="n">
        <v>0</v>
      </c>
      <c r="J355" s="7"/>
      <c r="K355" s="7"/>
      <c r="L355" s="7"/>
      <c r="M355" s="7"/>
      <c r="N355" s="7" t="n">
        <v>99.99927139</v>
      </c>
      <c r="O355" s="7" t="n">
        <v>0</v>
      </c>
      <c r="P355" s="7" t="n">
        <v>0.0007286105507</v>
      </c>
      <c r="Q355" s="7" t="n">
        <v>0</v>
      </c>
      <c r="R355" s="8" t="str">
        <f aca="false">IF($A355=$A356,$C356-$C355,"")</f>
        <v/>
      </c>
      <c r="S355" s="9" t="str">
        <f aca="false">IF(AND($A355=$A356,ISNUMBER(F355),ISNUMBER(F356)),(F356-F355)/($C356-$C355),"")</f>
        <v/>
      </c>
      <c r="T355" s="9" t="str">
        <f aca="false">IF(AND($A355=$A356,ISNUMBER(J355),ISNUMBER(J356)),(J356-J355)/($C356-$C355),"")</f>
        <v/>
      </c>
      <c r="U355" s="9" t="str">
        <f aca="false">IF(AND($A355=$A356,ISNUMBER(N355),ISNUMBER(N356)),(N356-N355)/($C356-$C355),"")</f>
        <v/>
      </c>
      <c r="V355" s="8" t="n">
        <f aca="false">IF(ISNUMBER(F355),ROUND(F355,0),"")</f>
        <v>100</v>
      </c>
      <c r="W355" s="8" t="str">
        <f aca="false">IF(ISNUMBER(J355),ROUND(J355,0),"")</f>
        <v/>
      </c>
      <c r="X355" s="8" t="n">
        <f aca="false">IF(ISNUMBER(N355),ROUND(N355,0),"")</f>
        <v>100</v>
      </c>
      <c r="Y355" s="4" t="str">
        <f aca="false">IF(AND($A355=$A356,V355=100,V356=100),"full access","")</f>
        <v/>
      </c>
      <c r="Z355" s="4" t="str">
        <f aca="false">IF(AND($A355=$A356,W355=100,W356=100),"full access","")</f>
        <v/>
      </c>
      <c r="AA355" s="4" t="str">
        <f aca="false">IF(AND($A355=$A356,X355=100,X356=100),"full access","")</f>
        <v/>
      </c>
      <c r="AB355" s="9" t="str">
        <f aca="false">IF(AND(ISNUMBER(T355),ISNUMBER(U355)),T355-U355,"")</f>
        <v/>
      </c>
    </row>
    <row r="356" customFormat="false" ht="15" hidden="false" customHeight="false" outlineLevel="0" collapsed="false">
      <c r="A356" s="10" t="s">
        <v>260</v>
      </c>
      <c r="B356" s="10" t="str">
        <f aca="false">IFERROR(INDEX('Region Lookup'!$B$2:$B$233,MATCH(A356,'Region Lookup'!$A$2:$A$233,0)),"Not found")</f>
        <v>North America</v>
      </c>
      <c r="C356" s="10" t="n">
        <v>2015</v>
      </c>
      <c r="D356" s="11" t="n">
        <v>5.992000103</v>
      </c>
      <c r="E356" s="12" t="n">
        <v>89.88899994</v>
      </c>
      <c r="F356" s="12" t="n">
        <v>91.4</v>
      </c>
      <c r="G356" s="12" t="n">
        <v>0</v>
      </c>
      <c r="H356" s="12" t="n">
        <v>8.6</v>
      </c>
      <c r="I356" s="12" t="n">
        <v>0</v>
      </c>
      <c r="J356" s="12"/>
      <c r="K356" s="12"/>
      <c r="L356" s="12"/>
      <c r="M356" s="12"/>
      <c r="N356" s="12"/>
      <c r="O356" s="12"/>
      <c r="P356" s="12"/>
      <c r="Q356" s="12"/>
      <c r="R356" s="13" t="n">
        <f aca="false">IF($A356=$A357,$C357-$C356,"")</f>
        <v>5</v>
      </c>
      <c r="S356" s="14" t="n">
        <f aca="false">IF(AND($A356=$A357,ISNUMBER(F356),ISNUMBER(F357)),(F357-F356)/($C357-$C356),"")</f>
        <v>0</v>
      </c>
      <c r="T356" s="14" t="str">
        <f aca="false">IF(AND($A356=$A357,ISNUMBER(J356),ISNUMBER(J357)),(J357-J356)/($C357-$C356),"")</f>
        <v/>
      </c>
      <c r="U356" s="14" t="str">
        <f aca="false">IF(AND($A356=$A357,ISNUMBER(N356),ISNUMBER(N357)),(N357-N356)/($C357-$C356),"")</f>
        <v/>
      </c>
      <c r="V356" s="13" t="n">
        <f aca="false">IF(ISNUMBER(F356),ROUND(F356,0),"")</f>
        <v>91</v>
      </c>
      <c r="W356" s="13" t="str">
        <f aca="false">IF(ISNUMBER(J356),ROUND(J356,0),"")</f>
        <v/>
      </c>
      <c r="X356" s="13" t="str">
        <f aca="false">IF(ISNUMBER(N356),ROUND(N356,0),"")</f>
        <v/>
      </c>
      <c r="Y356" s="10" t="str">
        <f aca="false">IF(AND($A356=$A357,V356=100,V357=100),"full access","")</f>
        <v/>
      </c>
      <c r="Z356" s="10" t="str">
        <f aca="false">IF(AND($A356=$A357,W356=100,W357=100),"full access","")</f>
        <v/>
      </c>
      <c r="AA356" s="10" t="str">
        <f aca="false">IF(AND($A356=$A357,X356=100,X357=100),"full access","")</f>
        <v/>
      </c>
      <c r="AB356" s="14" t="str">
        <f aca="false">IF(AND(ISNUMBER(T356),ISNUMBER(U356)),T356-U356,"")</f>
        <v/>
      </c>
    </row>
    <row r="357" customFormat="false" ht="15" hidden="false" customHeight="false" outlineLevel="0" collapsed="false">
      <c r="A357" s="10" t="s">
        <v>260</v>
      </c>
      <c r="B357" s="10" t="str">
        <f aca="false">IFERROR(INDEX('Region Lookup'!$B$2:$B$233,MATCH(A357,'Region Lookup'!$A$2:$A$233,0)),"Not found")</f>
        <v>North America</v>
      </c>
      <c r="C357" s="10" t="n">
        <v>2020</v>
      </c>
      <c r="D357" s="11" t="n">
        <v>5.795000076</v>
      </c>
      <c r="E357" s="12" t="n">
        <v>89.96199799</v>
      </c>
      <c r="F357" s="12" t="n">
        <v>91.4</v>
      </c>
      <c r="G357" s="12" t="n">
        <v>0</v>
      </c>
      <c r="H357" s="12" t="n">
        <v>8.6</v>
      </c>
      <c r="I357" s="12" t="n">
        <v>0</v>
      </c>
      <c r="J357" s="12"/>
      <c r="K357" s="12"/>
      <c r="L357" s="12"/>
      <c r="M357" s="12"/>
      <c r="N357" s="12"/>
      <c r="O357" s="12"/>
      <c r="P357" s="12"/>
      <c r="Q357" s="12"/>
      <c r="R357" s="13" t="str">
        <f aca="false">IF($A357=$A358,$C358-$C357,"")</f>
        <v/>
      </c>
      <c r="S357" s="14" t="str">
        <f aca="false">IF(AND($A357=$A358,ISNUMBER(F357),ISNUMBER(F358)),(F358-F357)/($C358-$C357),"")</f>
        <v/>
      </c>
      <c r="T357" s="14" t="str">
        <f aca="false">IF(AND($A357=$A358,ISNUMBER(J357),ISNUMBER(J358)),(J358-J357)/($C358-$C357),"")</f>
        <v/>
      </c>
      <c r="U357" s="14" t="str">
        <f aca="false">IF(AND($A357=$A358,ISNUMBER(N357),ISNUMBER(N358)),(N358-N357)/($C358-$C357),"")</f>
        <v/>
      </c>
      <c r="V357" s="13" t="n">
        <f aca="false">IF(ISNUMBER(F357),ROUND(F357,0),"")</f>
        <v>91</v>
      </c>
      <c r="W357" s="13" t="str">
        <f aca="false">IF(ISNUMBER(J357),ROUND(J357,0),"")</f>
        <v/>
      </c>
      <c r="X357" s="13" t="str">
        <f aca="false">IF(ISNUMBER(N357),ROUND(N357,0),"")</f>
        <v/>
      </c>
      <c r="Y357" s="10" t="str">
        <f aca="false">IF(AND($A357=$A358,V357=100,V358=100),"full access","")</f>
        <v/>
      </c>
      <c r="Z357" s="10" t="str">
        <f aca="false">IF(AND($A357=$A358,W357=100,W358=100),"full access","")</f>
        <v/>
      </c>
      <c r="AA357" s="10" t="str">
        <f aca="false">IF(AND($A357=$A358,X357=100,X358=100),"full access","")</f>
        <v/>
      </c>
      <c r="AB357" s="14" t="str">
        <f aca="false">IF(AND(ISNUMBER(T357),ISNUMBER(U357)),T357-U357,"")</f>
        <v/>
      </c>
    </row>
    <row r="358" customFormat="false" ht="15" hidden="false" customHeight="false" outlineLevel="0" collapsed="false">
      <c r="A358" s="4" t="s">
        <v>261</v>
      </c>
      <c r="B358" s="4" t="str">
        <f aca="false">IFERROR(INDEX('Region Lookup'!$B$2:$B$233,MATCH(A358,'Region Lookup'!$A$2:$A$233,0)),"Not found")</f>
        <v>Latin America &amp; Caribbean</v>
      </c>
      <c r="C358" s="4" t="n">
        <v>2015</v>
      </c>
      <c r="D358" s="6" t="n">
        <v>109.1350021</v>
      </c>
      <c r="E358" s="7" t="n">
        <v>50.96399689</v>
      </c>
      <c r="F358" s="7" t="n">
        <v>95.1452199</v>
      </c>
      <c r="G358" s="7" t="n">
        <v>0</v>
      </c>
      <c r="H358" s="7" t="n">
        <v>4.070093703</v>
      </c>
      <c r="I358" s="7" t="n">
        <v>0.784686397</v>
      </c>
      <c r="J358" s="7"/>
      <c r="K358" s="7"/>
      <c r="L358" s="7"/>
      <c r="M358" s="7"/>
      <c r="N358" s="7"/>
      <c r="O358" s="7"/>
      <c r="P358" s="7"/>
      <c r="Q358" s="7"/>
      <c r="R358" s="8" t="n">
        <f aca="false">IF($A358=$A359,$C359-$C358,"")</f>
        <v>3</v>
      </c>
      <c r="S358" s="9" t="n">
        <f aca="false">IF(AND($A358=$A359,ISNUMBER(F358),ISNUMBER(F359)),(F359-F358)/($C359-$C358),"")</f>
        <v>0</v>
      </c>
      <c r="T358" s="9" t="str">
        <f aca="false">IF(AND($A358=$A359,ISNUMBER(J358),ISNUMBER(J359)),(J359-J358)/($C359-$C358),"")</f>
        <v/>
      </c>
      <c r="U358" s="9" t="str">
        <f aca="false">IF(AND($A358=$A359,ISNUMBER(N358),ISNUMBER(N359)),(N359-N358)/($C359-$C358),"")</f>
        <v/>
      </c>
      <c r="V358" s="8" t="n">
        <f aca="false">IF(ISNUMBER(F358),ROUND(F358,0),"")</f>
        <v>95</v>
      </c>
      <c r="W358" s="8" t="str">
        <f aca="false">IF(ISNUMBER(J358),ROUND(J358,0),"")</f>
        <v/>
      </c>
      <c r="X358" s="8" t="str">
        <f aca="false">IF(ISNUMBER(N358),ROUND(N358,0),"")</f>
        <v/>
      </c>
      <c r="Y358" s="4" t="str">
        <f aca="false">IF(AND($A358=$A359,V358=100,V359=100),"full access","")</f>
        <v/>
      </c>
      <c r="Z358" s="4" t="str">
        <f aca="false">IF(AND($A358=$A359,W358=100,W359=100),"full access","")</f>
        <v/>
      </c>
      <c r="AA358" s="4" t="str">
        <f aca="false">IF(AND($A358=$A359,X358=100,X359=100),"full access","")</f>
        <v/>
      </c>
      <c r="AB358" s="9" t="str">
        <f aca="false">IF(AND(ISNUMBER(T358),ISNUMBER(U358)),T358-U358,"")</f>
        <v/>
      </c>
    </row>
    <row r="359" customFormat="false" ht="15" hidden="false" customHeight="false" outlineLevel="0" collapsed="false">
      <c r="A359" s="4" t="s">
        <v>261</v>
      </c>
      <c r="B359" s="4" t="str">
        <f aca="false">IFERROR(INDEX('Region Lookup'!$B$2:$B$233,MATCH(A359,'Region Lookup'!$A$2:$A$233,0)),"Not found")</f>
        <v>Latin America &amp; Caribbean</v>
      </c>
      <c r="C359" s="4" t="n">
        <v>2018</v>
      </c>
      <c r="D359" s="6" t="n">
        <v>110.2099991</v>
      </c>
      <c r="E359" s="7" t="n">
        <v>52.19799805</v>
      </c>
      <c r="F359" s="7" t="n">
        <v>95.1452199</v>
      </c>
      <c r="G359" s="7" t="n">
        <v>0</v>
      </c>
      <c r="H359" s="7" t="n">
        <v>4.8547801</v>
      </c>
      <c r="I359" s="7"/>
      <c r="J359" s="7"/>
      <c r="K359" s="7"/>
      <c r="L359" s="7"/>
      <c r="M359" s="7"/>
      <c r="N359" s="7"/>
      <c r="O359" s="7"/>
      <c r="P359" s="7"/>
      <c r="Q359" s="7"/>
      <c r="R359" s="8" t="str">
        <f aca="false">IF($A359=$A360,$C360-$C359,"")</f>
        <v/>
      </c>
      <c r="S359" s="9" t="str">
        <f aca="false">IF(AND($A359=$A360,ISNUMBER(F359),ISNUMBER(F360)),(F360-F359)/($C360-$C359),"")</f>
        <v/>
      </c>
      <c r="T359" s="9" t="str">
        <f aca="false">IF(AND($A359=$A360,ISNUMBER(J359),ISNUMBER(J360)),(J360-J359)/($C360-$C359),"")</f>
        <v/>
      </c>
      <c r="U359" s="9" t="str">
        <f aca="false">IF(AND($A359=$A360,ISNUMBER(N359),ISNUMBER(N360)),(N360-N359)/($C360-$C359),"")</f>
        <v/>
      </c>
      <c r="V359" s="8" t="n">
        <f aca="false">IF(ISNUMBER(F359),ROUND(F359,0),"")</f>
        <v>95</v>
      </c>
      <c r="W359" s="8" t="str">
        <f aca="false">IF(ISNUMBER(J359),ROUND(J359,0),"")</f>
        <v/>
      </c>
      <c r="X359" s="8" t="str">
        <f aca="false">IF(ISNUMBER(N359),ROUND(N359,0),"")</f>
        <v/>
      </c>
      <c r="Y359" s="4" t="str">
        <f aca="false">IF(AND($A359=$A360,V359=100,V360=100),"full access","")</f>
        <v/>
      </c>
      <c r="Z359" s="4" t="str">
        <f aca="false">IF(AND($A359=$A360,W359=100,W360=100),"full access","")</f>
        <v/>
      </c>
      <c r="AA359" s="4" t="str">
        <f aca="false">IF(AND($A359=$A360,X359=100,X360=100),"full access","")</f>
        <v/>
      </c>
      <c r="AB359" s="9" t="str">
        <f aca="false">IF(AND(ISNUMBER(T359),ISNUMBER(U359)),T359-U359,"")</f>
        <v/>
      </c>
    </row>
    <row r="360" customFormat="false" ht="15" hidden="false" customHeight="false" outlineLevel="0" collapsed="false">
      <c r="A360" s="10" t="s">
        <v>262</v>
      </c>
      <c r="B360" s="10" t="str">
        <f aca="false">IFERROR(INDEX('Region Lookup'!$B$2:$B$233,MATCH(A360,'Region Lookup'!$A$2:$A$233,0)),"Not found")</f>
        <v>East Asia &amp; Pacific</v>
      </c>
      <c r="C360" s="10" t="n">
        <v>2015</v>
      </c>
      <c r="D360" s="11" t="n">
        <v>193.5099945</v>
      </c>
      <c r="E360" s="12" t="n">
        <v>18.91400146</v>
      </c>
      <c r="F360" s="12" t="n">
        <v>91.32139736</v>
      </c>
      <c r="G360" s="12" t="n">
        <v>6.499281296</v>
      </c>
      <c r="H360" s="12" t="n">
        <v>1.929815904</v>
      </c>
      <c r="I360" s="12" t="n">
        <v>0.2495054413</v>
      </c>
      <c r="J360" s="12" t="n">
        <v>91.38641565</v>
      </c>
      <c r="K360" s="12" t="n">
        <v>6.194005024</v>
      </c>
      <c r="L360" s="12" t="n">
        <v>2.148529534</v>
      </c>
      <c r="M360" s="12" t="n">
        <v>0.2710497959</v>
      </c>
      <c r="N360" s="12" t="n">
        <v>91.04264868</v>
      </c>
      <c r="O360" s="12" t="n">
        <v>7.808027061</v>
      </c>
      <c r="P360" s="12" t="n">
        <v>0.9921814015</v>
      </c>
      <c r="Q360" s="12" t="n">
        <v>0.1571428571</v>
      </c>
      <c r="R360" s="13" t="n">
        <f aca="false">IF($A360=$A361,$C361-$C360,"")</f>
        <v>5</v>
      </c>
      <c r="S360" s="14" t="n">
        <f aca="false">IF(AND($A360=$A361,ISNUMBER(F360),ISNUMBER(F361)),(F361-F360)/($C361-$C360),"")</f>
        <v>0.103265438</v>
      </c>
      <c r="T360" s="14" t="n">
        <f aca="false">IF(AND($A360=$A361,ISNUMBER(J360),ISNUMBER(J361)),(J361-J360)/($C361-$C360),"")</f>
        <v>0.0787814440000005</v>
      </c>
      <c r="U360" s="14" t="n">
        <f aca="false">IF(AND($A360=$A361,ISNUMBER(N360),ISNUMBER(N361)),(N361-N360)/($C361-$C360),"")</f>
        <v>0.211708264000001</v>
      </c>
      <c r="V360" s="13" t="n">
        <f aca="false">IF(ISNUMBER(F360),ROUND(F360,0),"")</f>
        <v>91</v>
      </c>
      <c r="W360" s="13" t="n">
        <f aca="false">IF(ISNUMBER(J360),ROUND(J360,0),"")</f>
        <v>91</v>
      </c>
      <c r="X360" s="13" t="n">
        <f aca="false">IF(ISNUMBER(N360),ROUND(N360,0),"")</f>
        <v>91</v>
      </c>
      <c r="Y360" s="10" t="str">
        <f aca="false">IF(AND($A360=$A361,V360=100,V361=100),"full access","")</f>
        <v/>
      </c>
      <c r="Z360" s="10" t="str">
        <f aca="false">IF(AND($A360=$A361,W360=100,W361=100),"full access","")</f>
        <v/>
      </c>
      <c r="AA360" s="10" t="str">
        <f aca="false">IF(AND($A360=$A361,X360=100,X361=100),"full access","")</f>
        <v/>
      </c>
      <c r="AB360" s="14" t="n">
        <f aca="false">IF(AND(ISNUMBER(T360),ISNUMBER(U360)),T360-U360,"")</f>
        <v>-0.13292682</v>
      </c>
    </row>
    <row r="361" customFormat="false" ht="15" hidden="false" customHeight="false" outlineLevel="0" collapsed="false">
      <c r="A361" s="10" t="s">
        <v>262</v>
      </c>
      <c r="B361" s="10" t="str">
        <f aca="false">IFERROR(INDEX('Region Lookup'!$B$2:$B$233,MATCH(A361,'Region Lookup'!$A$2:$A$233,0)),"Not found")</f>
        <v>East Asia &amp; Pacific</v>
      </c>
      <c r="C361" s="10" t="n">
        <v>2020</v>
      </c>
      <c r="D361" s="11" t="n">
        <v>198.4100037</v>
      </c>
      <c r="E361" s="12" t="n">
        <v>17.88899994</v>
      </c>
      <c r="F361" s="12" t="n">
        <v>91.83772455</v>
      </c>
      <c r="G361" s="12" t="n">
        <v>6.520899952</v>
      </c>
      <c r="H361" s="12" t="n">
        <v>1.418623428</v>
      </c>
      <c r="I361" s="12" t="n">
        <v>0.2227520679</v>
      </c>
      <c r="J361" s="12" t="n">
        <v>91.78032287</v>
      </c>
      <c r="K361" s="12" t="n">
        <v>6.220703339</v>
      </c>
      <c r="L361" s="12" t="n">
        <v>1.72769216</v>
      </c>
      <c r="M361" s="12" t="n">
        <v>0.2712816327</v>
      </c>
      <c r="N361" s="12" t="n">
        <v>92.10119</v>
      </c>
      <c r="O361" s="12" t="n">
        <v>7.89881</v>
      </c>
      <c r="P361" s="12" t="n">
        <v>0</v>
      </c>
      <c r="Q361" s="12" t="n">
        <v>0</v>
      </c>
      <c r="R361" s="13" t="str">
        <f aca="false">IF($A361=$A362,$C362-$C361,"")</f>
        <v/>
      </c>
      <c r="S361" s="14" t="str">
        <f aca="false">IF(AND($A361=$A362,ISNUMBER(F361),ISNUMBER(F362)),(F362-F361)/($C362-$C361),"")</f>
        <v/>
      </c>
      <c r="T361" s="14" t="str">
        <f aca="false">IF(AND($A361=$A362,ISNUMBER(J361),ISNUMBER(J362)),(J362-J361)/($C362-$C361),"")</f>
        <v/>
      </c>
      <c r="U361" s="14" t="str">
        <f aca="false">IF(AND($A361=$A362,ISNUMBER(N361),ISNUMBER(N362)),(N362-N361)/($C362-$C361),"")</f>
        <v/>
      </c>
      <c r="V361" s="13" t="n">
        <f aca="false">IF(ISNUMBER(F361),ROUND(F361,0),"")</f>
        <v>92</v>
      </c>
      <c r="W361" s="13" t="n">
        <f aca="false">IF(ISNUMBER(J361),ROUND(J361,0),"")</f>
        <v>92</v>
      </c>
      <c r="X361" s="13" t="n">
        <f aca="false">IF(ISNUMBER(N361),ROUND(N361,0),"")</f>
        <v>92</v>
      </c>
      <c r="Y361" s="10" t="str">
        <f aca="false">IF(AND($A361=$A362,V361=100,V362=100),"full access","")</f>
        <v/>
      </c>
      <c r="Z361" s="10" t="str">
        <f aca="false">IF(AND($A361=$A362,W361=100,W362=100),"full access","")</f>
        <v/>
      </c>
      <c r="AA361" s="10" t="str">
        <f aca="false">IF(AND($A361=$A362,X361=100,X362=100),"full access","")</f>
        <v/>
      </c>
      <c r="AB361" s="14" t="str">
        <f aca="false">IF(AND(ISNUMBER(T361),ISNUMBER(U361)),T361-U361,"")</f>
        <v/>
      </c>
    </row>
    <row r="362" customFormat="false" ht="15" hidden="false" customHeight="false" outlineLevel="0" collapsed="false">
      <c r="A362" s="4" t="s">
        <v>263</v>
      </c>
      <c r="B362" s="4" t="str">
        <f aca="false">IFERROR(INDEX('Region Lookup'!$B$2:$B$233,MATCH(A362,'Region Lookup'!$A$2:$A$233,0)),"Not found")</f>
        <v>Europe &amp; Central Asia</v>
      </c>
      <c r="C362" s="4" t="n">
        <v>2015</v>
      </c>
      <c r="D362" s="6" t="n">
        <v>33.27000046</v>
      </c>
      <c r="E362" s="7" t="n">
        <v>96.73899841</v>
      </c>
      <c r="F362" s="7" t="n">
        <v>100</v>
      </c>
      <c r="G362" s="7" t="n">
        <v>0</v>
      </c>
      <c r="H362" s="7" t="n">
        <v>0</v>
      </c>
      <c r="I362" s="7" t="n">
        <v>0</v>
      </c>
      <c r="J362" s="7"/>
      <c r="K362" s="7"/>
      <c r="L362" s="7"/>
      <c r="M362" s="7"/>
      <c r="N362" s="7"/>
      <c r="O362" s="7"/>
      <c r="P362" s="7"/>
      <c r="Q362" s="7"/>
      <c r="R362" s="8" t="n">
        <f aca="false">IF($A362=$A363,$C363-$C362,"")</f>
        <v>5</v>
      </c>
      <c r="S362" s="9" t="n">
        <f aca="false">IF(AND($A362=$A363,ISNUMBER(F362),ISNUMBER(F363)),(F363-F362)/($C363-$C362),"")</f>
        <v>0</v>
      </c>
      <c r="T362" s="9" t="str">
        <f aca="false">IF(AND($A362=$A363,ISNUMBER(J362),ISNUMBER(J363)),(J363-J362)/($C363-$C362),"")</f>
        <v/>
      </c>
      <c r="U362" s="9" t="str">
        <f aca="false">IF(AND($A362=$A363,ISNUMBER(N362),ISNUMBER(N363)),(N363-N362)/($C363-$C362),"")</f>
        <v/>
      </c>
      <c r="V362" s="8" t="n">
        <f aca="false">IF(ISNUMBER(F362),ROUND(F362,0),"")</f>
        <v>100</v>
      </c>
      <c r="W362" s="8" t="str">
        <f aca="false">IF(ISNUMBER(J362),ROUND(J362,0),"")</f>
        <v/>
      </c>
      <c r="X362" s="8" t="str">
        <f aca="false">IF(ISNUMBER(N362),ROUND(N362,0),"")</f>
        <v/>
      </c>
      <c r="Y362" s="4" t="str">
        <f aca="false">IF(AND($A362=$A363,V362=100,V363=100),"full access","")</f>
        <v>full access</v>
      </c>
      <c r="Z362" s="4" t="str">
        <f aca="false">IF(AND($A362=$A363,W362=100,W363=100),"full access","")</f>
        <v/>
      </c>
      <c r="AA362" s="4" t="str">
        <f aca="false">IF(AND($A362=$A363,X362=100,X363=100),"full access","")</f>
        <v/>
      </c>
      <c r="AB362" s="9" t="str">
        <f aca="false">IF(AND(ISNUMBER(T362),ISNUMBER(U362)),T362-U362,"")</f>
        <v/>
      </c>
    </row>
    <row r="363" customFormat="false" ht="15" hidden="false" customHeight="false" outlineLevel="0" collapsed="false">
      <c r="A363" s="4" t="s">
        <v>263</v>
      </c>
      <c r="B363" s="4" t="str">
        <f aca="false">IFERROR(INDEX('Region Lookup'!$B$2:$B$233,MATCH(A363,'Region Lookup'!$A$2:$A$233,0)),"Not found")</f>
        <v>Europe &amp; Central Asia</v>
      </c>
      <c r="C363" s="4" t="n">
        <v>2020</v>
      </c>
      <c r="D363" s="6" t="n">
        <v>33.93799973</v>
      </c>
      <c r="E363" s="7" t="n">
        <v>97.49900055</v>
      </c>
      <c r="F363" s="7" t="n">
        <v>100</v>
      </c>
      <c r="G363" s="7" t="n">
        <v>0</v>
      </c>
      <c r="H363" s="7" t="n">
        <v>0</v>
      </c>
      <c r="I363" s="7" t="n">
        <v>0</v>
      </c>
      <c r="J363" s="7"/>
      <c r="K363" s="7"/>
      <c r="L363" s="7"/>
      <c r="M363" s="7"/>
      <c r="N363" s="7"/>
      <c r="O363" s="7"/>
      <c r="P363" s="7"/>
      <c r="Q363" s="7"/>
      <c r="R363" s="8" t="str">
        <f aca="false">IF($A363=$A364,$C364-$C363,"")</f>
        <v/>
      </c>
      <c r="S363" s="9" t="str">
        <f aca="false">IF(AND($A363=$A364,ISNUMBER(F363),ISNUMBER(F364)),(F364-F363)/($C364-$C363),"")</f>
        <v/>
      </c>
      <c r="T363" s="9" t="str">
        <f aca="false">IF(AND($A363=$A364,ISNUMBER(J363),ISNUMBER(J364)),(J364-J363)/($C364-$C363),"")</f>
        <v/>
      </c>
      <c r="U363" s="9" t="str">
        <f aca="false">IF(AND($A363=$A364,ISNUMBER(N363),ISNUMBER(N364)),(N364-N363)/($C364-$C363),"")</f>
        <v/>
      </c>
      <c r="V363" s="8" t="n">
        <f aca="false">IF(ISNUMBER(F363),ROUND(F363,0),"")</f>
        <v>100</v>
      </c>
      <c r="W363" s="8" t="str">
        <f aca="false">IF(ISNUMBER(J363),ROUND(J363,0),"")</f>
        <v/>
      </c>
      <c r="X363" s="8" t="str">
        <f aca="false">IF(ISNUMBER(N363),ROUND(N363,0),"")</f>
        <v/>
      </c>
      <c r="Y363" s="4" t="str">
        <f aca="false">IF(AND($A363=$A364,V363=100,V364=100),"full access","")</f>
        <v/>
      </c>
      <c r="Z363" s="4" t="str">
        <f aca="false">IF(AND($A363=$A364,W363=100,W364=100),"full access","")</f>
        <v/>
      </c>
      <c r="AA363" s="4" t="str">
        <f aca="false">IF(AND($A363=$A364,X363=100,X364=100),"full access","")</f>
        <v/>
      </c>
      <c r="AB363" s="9" t="str">
        <f aca="false">IF(AND(ISNUMBER(T363),ISNUMBER(U363)),T363-U363,"")</f>
        <v/>
      </c>
    </row>
    <row r="364" customFormat="false" ht="15" hidden="false" customHeight="false" outlineLevel="0" collapsed="false">
      <c r="A364" s="10" t="s">
        <v>264</v>
      </c>
      <c r="B364" s="10" t="str">
        <f aca="false">IFERROR(INDEX('Region Lookup'!$B$2:$B$233,MATCH(A364,'Region Lookup'!$A$2:$A$233,0)),"Not found")</f>
        <v>Sub-Saharan Africa</v>
      </c>
      <c r="C364" s="10" t="n">
        <v>2015</v>
      </c>
      <c r="D364" s="11" t="n">
        <v>199.4389954</v>
      </c>
      <c r="E364" s="12" t="n">
        <v>70.1740036</v>
      </c>
      <c r="F364" s="12" t="n">
        <v>77.12422979</v>
      </c>
      <c r="G364" s="12" t="n">
        <v>18.34430682</v>
      </c>
      <c r="H364" s="12" t="n">
        <v>1.859577121</v>
      </c>
      <c r="I364" s="12" t="n">
        <v>2.671886269</v>
      </c>
      <c r="J364" s="12" t="n">
        <v>71.28271664</v>
      </c>
      <c r="K364" s="12" t="n">
        <v>17.07304495</v>
      </c>
      <c r="L364" s="12" t="n">
        <v>4.118479256</v>
      </c>
      <c r="M364" s="12" t="n">
        <v>7.525759155</v>
      </c>
      <c r="N364" s="12" t="n">
        <v>79.607041</v>
      </c>
      <c r="O364" s="12" t="n">
        <v>18.88462966</v>
      </c>
      <c r="P364" s="12" t="n">
        <v>0.8994805634</v>
      </c>
      <c r="Q364" s="12" t="n">
        <v>0.6088487774</v>
      </c>
      <c r="R364" s="13" t="n">
        <f aca="false">IF($A364=$A365,$C365-$C364,"")</f>
        <v>5</v>
      </c>
      <c r="S364" s="14" t="n">
        <f aca="false">IF(AND($A364=$A365,ISNUMBER(F364),ISNUMBER(F365)),(F365-F364)/($C365-$C364),"")</f>
        <v>0.220445074</v>
      </c>
      <c r="T364" s="14" t="n">
        <f aca="false">IF(AND($A364=$A365,ISNUMBER(J364),ISNUMBER(J365)),(J365-J364)/($C365-$C364),"")</f>
        <v>0.603579569999999</v>
      </c>
      <c r="U364" s="14" t="n">
        <f aca="false">IF(AND($A364=$A365,ISNUMBER(N364),ISNUMBER(N365)),(N365-N364)/($C365-$C364),"")</f>
        <v>-0.00529961999999955</v>
      </c>
      <c r="V364" s="13" t="n">
        <f aca="false">IF(ISNUMBER(F364),ROUND(F364,0),"")</f>
        <v>77</v>
      </c>
      <c r="W364" s="13" t="n">
        <f aca="false">IF(ISNUMBER(J364),ROUND(J364,0),"")</f>
        <v>71</v>
      </c>
      <c r="X364" s="13" t="n">
        <f aca="false">IF(ISNUMBER(N364),ROUND(N364,0),"")</f>
        <v>80</v>
      </c>
      <c r="Y364" s="10" t="str">
        <f aca="false">IF(AND($A364=$A365,V364=100,V365=100),"full access","")</f>
        <v/>
      </c>
      <c r="Z364" s="10" t="str">
        <f aca="false">IF(AND($A364=$A365,W364=100,W365=100),"full access","")</f>
        <v/>
      </c>
      <c r="AA364" s="10" t="str">
        <f aca="false">IF(AND($A364=$A365,X364=100,X365=100),"full access","")</f>
        <v/>
      </c>
      <c r="AB364" s="14" t="n">
        <f aca="false">IF(AND(ISNUMBER(T364),ISNUMBER(U364)),T364-U364,"")</f>
        <v>0.608879189999999</v>
      </c>
    </row>
    <row r="365" customFormat="false" ht="15" hidden="false" customHeight="false" outlineLevel="0" collapsed="false">
      <c r="A365" s="10" t="s">
        <v>264</v>
      </c>
      <c r="B365" s="10" t="str">
        <f aca="false">IFERROR(INDEX('Region Lookup'!$B$2:$B$233,MATCH(A365,'Region Lookup'!$A$2:$A$233,0)),"Not found")</f>
        <v>Sub-Saharan Africa</v>
      </c>
      <c r="C365" s="10" t="n">
        <v>2020</v>
      </c>
      <c r="D365" s="11" t="n">
        <v>219.1609955</v>
      </c>
      <c r="E365" s="12" t="n">
        <v>74.35400391</v>
      </c>
      <c r="F365" s="12" t="n">
        <v>78.22645516</v>
      </c>
      <c r="G365" s="12" t="n">
        <v>20.23798298</v>
      </c>
      <c r="H365" s="12" t="n">
        <v>0.4435199284</v>
      </c>
      <c r="I365" s="12" t="n">
        <v>1.09204193</v>
      </c>
      <c r="J365" s="12" t="n">
        <v>74.30061449</v>
      </c>
      <c r="K365" s="12" t="n">
        <v>19.71184258</v>
      </c>
      <c r="L365" s="12" t="n">
        <v>1.729405704</v>
      </c>
      <c r="M365" s="12" t="n">
        <v>4.258137228</v>
      </c>
      <c r="N365" s="12" t="n">
        <v>79.5805429</v>
      </c>
      <c r="O365" s="12" t="n">
        <v>20.4194571</v>
      </c>
      <c r="P365" s="12" t="n">
        <v>0</v>
      </c>
      <c r="Q365" s="12" t="n">
        <v>0</v>
      </c>
      <c r="R365" s="13" t="str">
        <f aca="false">IF($A365=$A366,$C366-$C365,"")</f>
        <v/>
      </c>
      <c r="S365" s="14" t="str">
        <f aca="false">IF(AND($A365=$A366,ISNUMBER(F365),ISNUMBER(F366)),(F366-F365)/($C366-$C365),"")</f>
        <v/>
      </c>
      <c r="T365" s="14" t="str">
        <f aca="false">IF(AND($A365=$A366,ISNUMBER(J365),ISNUMBER(J366)),(J366-J365)/($C366-$C365),"")</f>
        <v/>
      </c>
      <c r="U365" s="14" t="str">
        <f aca="false">IF(AND($A365=$A366,ISNUMBER(N365),ISNUMBER(N366)),(N366-N365)/($C366-$C365),"")</f>
        <v/>
      </c>
      <c r="V365" s="13" t="n">
        <f aca="false">IF(ISNUMBER(F365),ROUND(F365,0),"")</f>
        <v>78</v>
      </c>
      <c r="W365" s="13" t="n">
        <f aca="false">IF(ISNUMBER(J365),ROUND(J365,0),"")</f>
        <v>74</v>
      </c>
      <c r="X365" s="13" t="n">
        <f aca="false">IF(ISNUMBER(N365),ROUND(N365,0),"")</f>
        <v>80</v>
      </c>
      <c r="Y365" s="10" t="str">
        <f aca="false">IF(AND($A365=$A366,V365=100,V366=100),"full access","")</f>
        <v/>
      </c>
      <c r="Z365" s="10" t="str">
        <f aca="false">IF(AND($A365=$A366,W365=100,W366=100),"full access","")</f>
        <v/>
      </c>
      <c r="AA365" s="10" t="str">
        <f aca="false">IF(AND($A365=$A366,X365=100,X366=100),"full access","")</f>
        <v/>
      </c>
      <c r="AB365" s="14" t="str">
        <f aca="false">IF(AND(ISNUMBER(T365),ISNUMBER(U365)),T365-U365,"")</f>
        <v/>
      </c>
    </row>
    <row r="366" customFormat="false" ht="15" hidden="false" customHeight="false" outlineLevel="0" collapsed="false">
      <c r="A366" s="4" t="s">
        <v>265</v>
      </c>
      <c r="B366" s="4" t="str">
        <f aca="false">IFERROR(INDEX('Region Lookup'!$B$2:$B$233,MATCH(A366,'Region Lookup'!$A$2:$A$233,0)),"Not found")</f>
        <v>Europe &amp; Central Asia</v>
      </c>
      <c r="C366" s="4" t="n">
        <v>2015</v>
      </c>
      <c r="D366" s="6" t="n">
        <v>31717.67578</v>
      </c>
      <c r="E366" s="7" t="n">
        <v>83.18000031</v>
      </c>
      <c r="F366" s="7" t="n">
        <v>99.54802638</v>
      </c>
      <c r="G366" s="7" t="n">
        <v>0</v>
      </c>
      <c r="H366" s="7" t="n">
        <v>0.4519736166</v>
      </c>
      <c r="I366" s="7" t="n">
        <v>0</v>
      </c>
      <c r="J366" s="7"/>
      <c r="K366" s="7"/>
      <c r="L366" s="7"/>
      <c r="M366" s="7"/>
      <c r="N366" s="7"/>
      <c r="O366" s="7"/>
      <c r="P366" s="7"/>
      <c r="Q366" s="7"/>
      <c r="R366" s="8" t="n">
        <f aca="false">IF($A366=$A367,$C367-$C366,"")</f>
        <v>5</v>
      </c>
      <c r="S366" s="9" t="n">
        <f aca="false">IF(AND($A366=$A367,ISNUMBER(F366),ISNUMBER(F367)),(F367-F366)/($C367-$C366),"")</f>
        <v>0.0903947240000008</v>
      </c>
      <c r="T366" s="9" t="str">
        <f aca="false">IF(AND($A366=$A367,ISNUMBER(J366),ISNUMBER(J367)),(J367-J366)/($C367-$C366),"")</f>
        <v/>
      </c>
      <c r="U366" s="9" t="str">
        <f aca="false">IF(AND($A366=$A367,ISNUMBER(N366),ISNUMBER(N367)),(N367-N366)/($C367-$C366),"")</f>
        <v/>
      </c>
      <c r="V366" s="8" t="n">
        <f aca="false">IF(ISNUMBER(F366),ROUND(F366,0),"")</f>
        <v>100</v>
      </c>
      <c r="W366" s="8" t="str">
        <f aca="false">IF(ISNUMBER(J366),ROUND(J366,0),"")</f>
        <v/>
      </c>
      <c r="X366" s="8" t="str">
        <f aca="false">IF(ISNUMBER(N366),ROUND(N366,0),"")</f>
        <v/>
      </c>
      <c r="Y366" s="4" t="str">
        <f aca="false">IF(AND($A366=$A367,V366=100,V367=100),"full access","")</f>
        <v>full access</v>
      </c>
      <c r="Z366" s="4" t="str">
        <f aca="false">IF(AND($A366=$A367,W366=100,W367=100),"full access","")</f>
        <v/>
      </c>
      <c r="AA366" s="4" t="str">
        <f aca="false">IF(AND($A366=$A367,X366=100,X367=100),"full access","")</f>
        <v/>
      </c>
      <c r="AB366" s="9" t="str">
        <f aca="false">IF(AND(ISNUMBER(T366),ISNUMBER(U366)),T366-U366,"")</f>
        <v/>
      </c>
    </row>
    <row r="367" customFormat="false" ht="15" hidden="false" customHeight="false" outlineLevel="0" collapsed="false">
      <c r="A367" s="4" t="s">
        <v>265</v>
      </c>
      <c r="B367" s="4" t="str">
        <f aca="false">IFERROR(INDEX('Region Lookup'!$B$2:$B$233,MATCH(A367,'Region Lookup'!$A$2:$A$233,0)),"Not found")</f>
        <v>Europe &amp; Central Asia</v>
      </c>
      <c r="C367" s="4" t="n">
        <v>2020</v>
      </c>
      <c r="D367" s="6" t="n">
        <v>34813.86719</v>
      </c>
      <c r="E367" s="7" t="n">
        <v>84.28700256</v>
      </c>
      <c r="F367" s="7" t="n">
        <v>100</v>
      </c>
      <c r="G367" s="7" t="n">
        <v>0</v>
      </c>
      <c r="H367" s="7" t="n">
        <v>0</v>
      </c>
      <c r="I367" s="7" t="n">
        <v>0</v>
      </c>
      <c r="J367" s="7"/>
      <c r="K367" s="7"/>
      <c r="L367" s="7"/>
      <c r="M367" s="7"/>
      <c r="N367" s="7"/>
      <c r="O367" s="7"/>
      <c r="P367" s="7"/>
      <c r="Q367" s="7"/>
      <c r="R367" s="8" t="str">
        <f aca="false">IF($A367=$A368,$C368-$C367,"")</f>
        <v/>
      </c>
      <c r="S367" s="9" t="str">
        <f aca="false">IF(AND($A367=$A368,ISNUMBER(F367),ISNUMBER(F368)),(F368-F367)/($C368-$C367),"")</f>
        <v/>
      </c>
      <c r="T367" s="9" t="str">
        <f aca="false">IF(AND($A367=$A368,ISNUMBER(J367),ISNUMBER(J368)),(J368-J367)/($C368-$C367),"")</f>
        <v/>
      </c>
      <c r="U367" s="9" t="str">
        <f aca="false">IF(AND($A367=$A368,ISNUMBER(N367),ISNUMBER(N368)),(N368-N367)/($C368-$C367),"")</f>
        <v/>
      </c>
      <c r="V367" s="8" t="n">
        <f aca="false">IF(ISNUMBER(F367),ROUND(F367,0),"")</f>
        <v>100</v>
      </c>
      <c r="W367" s="8" t="str">
        <f aca="false">IF(ISNUMBER(J367),ROUND(J367,0),"")</f>
        <v/>
      </c>
      <c r="X367" s="8" t="str">
        <f aca="false">IF(ISNUMBER(N367),ROUND(N367,0),"")</f>
        <v/>
      </c>
      <c r="Y367" s="4" t="str">
        <f aca="false">IF(AND($A367=$A368,V367=100,V368=100),"full access","")</f>
        <v/>
      </c>
      <c r="Z367" s="4" t="str">
        <f aca="false">IF(AND($A367=$A368,W367=100,W368=100),"full access","")</f>
        <v/>
      </c>
      <c r="AA367" s="4" t="str">
        <f aca="false">IF(AND($A367=$A368,X367=100,X368=100),"full access","")</f>
        <v/>
      </c>
      <c r="AB367" s="9" t="str">
        <f aca="false">IF(AND(ISNUMBER(T367),ISNUMBER(U367)),T367-U367,"")</f>
        <v/>
      </c>
    </row>
    <row r="368" customFormat="false" ht="15" hidden="false" customHeight="false" outlineLevel="0" collapsed="false">
      <c r="A368" s="10" t="s">
        <v>266</v>
      </c>
      <c r="B368" s="10" t="str">
        <f aca="false">IFERROR(INDEX('Region Lookup'!$B$2:$B$233,MATCH(A368,'Region Lookup'!$A$2:$A$233,0)),"Not found")</f>
        <v>Sub-Saharan Africa</v>
      </c>
      <c r="C368" s="10" t="n">
        <v>2015</v>
      </c>
      <c r="D368" s="11" t="n">
        <v>14578.4502</v>
      </c>
      <c r="E368" s="12" t="n">
        <v>45.86200333</v>
      </c>
      <c r="F368" s="12" t="n">
        <v>78.60209362</v>
      </c>
      <c r="G368" s="12" t="n">
        <v>3.392145635</v>
      </c>
      <c r="H368" s="12" t="n">
        <v>17.59491318</v>
      </c>
      <c r="I368" s="12" t="n">
        <v>0.4108475646</v>
      </c>
      <c r="J368" s="12" t="n">
        <v>65.94120156</v>
      </c>
      <c r="K368" s="12" t="n">
        <v>5.253411854</v>
      </c>
      <c r="L368" s="12" t="n">
        <v>28.07919255</v>
      </c>
      <c r="M368" s="12" t="n">
        <v>0.7261940369</v>
      </c>
      <c r="N368" s="12" t="n">
        <v>93.54769776</v>
      </c>
      <c r="O368" s="12" t="n">
        <v>1.195005973</v>
      </c>
      <c r="P368" s="12" t="n">
        <v>5.218700794</v>
      </c>
      <c r="Q368" s="12" t="n">
        <v>0.03859547379</v>
      </c>
      <c r="R368" s="13" t="n">
        <f aca="false">IF($A368=$A369,$C369-$C368,"")</f>
        <v>5</v>
      </c>
      <c r="S368" s="14" t="n">
        <f aca="false">IF(AND($A368=$A369,ISNUMBER(F368),ISNUMBER(F369)),(F369-F368)/($C369-$C368),"")</f>
        <v>1.260628834</v>
      </c>
      <c r="T368" s="14" t="n">
        <f aca="false">IF(AND($A368=$A369,ISNUMBER(J368),ISNUMBER(J369)),(J369-J368)/($C369-$C368),"")</f>
        <v>1.860345328</v>
      </c>
      <c r="U368" s="14" t="n">
        <f aca="false">IF(AND($A368=$A369,ISNUMBER(N368),ISNUMBER(N369)),(N369-N368)/($C369-$C368),"")</f>
        <v>0.354800635999999</v>
      </c>
      <c r="V368" s="13" t="n">
        <f aca="false">IF(ISNUMBER(F368),ROUND(F368,0),"")</f>
        <v>79</v>
      </c>
      <c r="W368" s="13" t="n">
        <f aca="false">IF(ISNUMBER(J368),ROUND(J368,0),"")</f>
        <v>66</v>
      </c>
      <c r="X368" s="13" t="n">
        <f aca="false">IF(ISNUMBER(N368),ROUND(N368,0),"")</f>
        <v>94</v>
      </c>
      <c r="Y368" s="10" t="str">
        <f aca="false">IF(AND($A368=$A369,V368=100,V369=100),"full access","")</f>
        <v/>
      </c>
      <c r="Z368" s="10" t="str">
        <f aca="false">IF(AND($A368=$A369,W368=100,W369=100),"full access","")</f>
        <v/>
      </c>
      <c r="AA368" s="10" t="str">
        <f aca="false">IF(AND($A368=$A369,X368=100,X369=100),"full access","")</f>
        <v/>
      </c>
      <c r="AB368" s="14" t="n">
        <f aca="false">IF(AND(ISNUMBER(T368),ISNUMBER(U368)),T368-U368,"")</f>
        <v>1.505544692</v>
      </c>
    </row>
    <row r="369" customFormat="false" ht="15" hidden="false" customHeight="false" outlineLevel="0" collapsed="false">
      <c r="A369" s="10" t="s">
        <v>266</v>
      </c>
      <c r="B369" s="10" t="str">
        <f aca="false">IFERROR(INDEX('Region Lookup'!$B$2:$B$233,MATCH(A369,'Region Lookup'!$A$2:$A$233,0)),"Not found")</f>
        <v>Sub-Saharan Africa</v>
      </c>
      <c r="C369" s="10" t="n">
        <v>2020</v>
      </c>
      <c r="D369" s="11" t="n">
        <v>16743.92969</v>
      </c>
      <c r="E369" s="12" t="n">
        <v>48.12200165</v>
      </c>
      <c r="F369" s="12" t="n">
        <v>84.90523779</v>
      </c>
      <c r="G369" s="12" t="n">
        <v>2.387217509</v>
      </c>
      <c r="H369" s="12" t="n">
        <v>12.60781566</v>
      </c>
      <c r="I369" s="12" t="n">
        <v>0.09972904042</v>
      </c>
      <c r="J369" s="12" t="n">
        <v>75.2429282</v>
      </c>
      <c r="K369" s="12" t="n">
        <v>4.052382433</v>
      </c>
      <c r="L369" s="12" t="n">
        <v>20.51245174</v>
      </c>
      <c r="M369" s="12" t="n">
        <v>0.1922376314</v>
      </c>
      <c r="N369" s="12" t="n">
        <v>95.32170094</v>
      </c>
      <c r="O369" s="12" t="n">
        <v>0.5920836567</v>
      </c>
      <c r="P369" s="12" t="n">
        <v>4.086215402</v>
      </c>
      <c r="Q369" s="12" t="n">
        <v>0</v>
      </c>
      <c r="R369" s="13" t="str">
        <f aca="false">IF($A369=$A370,$C370-$C369,"")</f>
        <v/>
      </c>
      <c r="S369" s="14" t="str">
        <f aca="false">IF(AND($A369=$A370,ISNUMBER(F369),ISNUMBER(F370)),(F370-F369)/($C370-$C369),"")</f>
        <v/>
      </c>
      <c r="T369" s="14" t="str">
        <f aca="false">IF(AND($A369=$A370,ISNUMBER(J369),ISNUMBER(J370)),(J370-J369)/($C370-$C369),"")</f>
        <v/>
      </c>
      <c r="U369" s="14" t="str">
        <f aca="false">IF(AND($A369=$A370,ISNUMBER(N369),ISNUMBER(N370)),(N370-N369)/($C370-$C369),"")</f>
        <v/>
      </c>
      <c r="V369" s="13" t="n">
        <f aca="false">IF(ISNUMBER(F369),ROUND(F369,0),"")</f>
        <v>85</v>
      </c>
      <c r="W369" s="13" t="n">
        <f aca="false">IF(ISNUMBER(J369),ROUND(J369,0),"")</f>
        <v>75</v>
      </c>
      <c r="X369" s="13" t="n">
        <f aca="false">IF(ISNUMBER(N369),ROUND(N369,0),"")</f>
        <v>95</v>
      </c>
      <c r="Y369" s="10" t="str">
        <f aca="false">IF(AND($A369=$A370,V369=100,V370=100),"full access","")</f>
        <v/>
      </c>
      <c r="Z369" s="10" t="str">
        <f aca="false">IF(AND($A369=$A370,W369=100,W370=100),"full access","")</f>
        <v/>
      </c>
      <c r="AA369" s="10" t="str">
        <f aca="false">IF(AND($A369=$A370,X369=100,X370=100),"full access","")</f>
        <v/>
      </c>
      <c r="AB369" s="14" t="str">
        <f aca="false">IF(AND(ISNUMBER(T369),ISNUMBER(U369)),T369-U369,"")</f>
        <v/>
      </c>
    </row>
    <row r="370" customFormat="false" ht="15" hidden="false" customHeight="false" outlineLevel="0" collapsed="false">
      <c r="A370" s="4" t="s">
        <v>267</v>
      </c>
      <c r="B370" s="4" t="str">
        <f aca="false">IFERROR(INDEX('Region Lookup'!$B$2:$B$233,MATCH(A370,'Region Lookup'!$A$2:$A$233,0)),"Not found")</f>
        <v>Europe &amp; Central Asia</v>
      </c>
      <c r="C370" s="4" t="n">
        <v>2015</v>
      </c>
      <c r="D370" s="6" t="n">
        <v>8876.777344</v>
      </c>
      <c r="E370" s="7" t="n">
        <v>55.69599915</v>
      </c>
      <c r="F370" s="7" t="n">
        <v>93.3864573</v>
      </c>
      <c r="G370" s="7" t="n">
        <v>6.112096052</v>
      </c>
      <c r="H370" s="7" t="n">
        <v>0.4835436344</v>
      </c>
      <c r="I370" s="7" t="n">
        <v>0.01790301579</v>
      </c>
      <c r="J370" s="7" t="n">
        <v>94.72352905</v>
      </c>
      <c r="K370" s="7" t="n">
        <v>4.600438201</v>
      </c>
      <c r="L370" s="7" t="n">
        <v>0.6356232686</v>
      </c>
      <c r="M370" s="7" t="n">
        <v>0.040409478</v>
      </c>
      <c r="N370" s="7" t="n">
        <v>92.32286869</v>
      </c>
      <c r="O370" s="7" t="n">
        <v>7.314561109</v>
      </c>
      <c r="P370" s="7" t="n">
        <v>0.3625701971</v>
      </c>
      <c r="Q370" s="7" t="n">
        <v>0</v>
      </c>
      <c r="R370" s="8" t="n">
        <f aca="false">IF($A370=$A371,$C371-$C370,"")</f>
        <v>5</v>
      </c>
      <c r="S370" s="9" t="n">
        <f aca="false">IF(AND($A370=$A371,ISNUMBER(F370),ISNUMBER(F371)),(F371-F370)/($C371-$C370),"")</f>
        <v>0.381814403999999</v>
      </c>
      <c r="T370" s="9" t="n">
        <f aca="false">IF(AND($A370=$A371,ISNUMBER(J370),ISNUMBER(J371)),(J371-J370)/($C371-$C370),"")</f>
        <v>0.224289140000002</v>
      </c>
      <c r="U370" s="9" t="n">
        <f aca="false">IF(AND($A370=$A371,ISNUMBER(N370),ISNUMBER(N371)),(N371-N370)/($C371-$C370),"")</f>
        <v>0.509740239999999</v>
      </c>
      <c r="V370" s="8" t="n">
        <f aca="false">IF(ISNUMBER(F370),ROUND(F370,0),"")</f>
        <v>93</v>
      </c>
      <c r="W370" s="8" t="n">
        <f aca="false">IF(ISNUMBER(J370),ROUND(J370,0),"")</f>
        <v>95</v>
      </c>
      <c r="X370" s="8" t="n">
        <f aca="false">IF(ISNUMBER(N370),ROUND(N370,0),"")</f>
        <v>92</v>
      </c>
      <c r="Y370" s="4" t="str">
        <f aca="false">IF(AND($A370=$A371,V370=100,V371=100),"full access","")</f>
        <v/>
      </c>
      <c r="Z370" s="4" t="str">
        <f aca="false">IF(AND($A370=$A371,W370=100,W371=100),"full access","")</f>
        <v/>
      </c>
      <c r="AA370" s="4" t="str">
        <f aca="false">IF(AND($A370=$A371,X370=100,X371=100),"full access","")</f>
        <v/>
      </c>
      <c r="AB370" s="9" t="n">
        <f aca="false">IF(AND(ISNUMBER(T370),ISNUMBER(U370)),T370-U370,"")</f>
        <v>-0.285451099999997</v>
      </c>
    </row>
    <row r="371" customFormat="false" ht="15" hidden="false" customHeight="false" outlineLevel="0" collapsed="false">
      <c r="A371" s="4" t="s">
        <v>267</v>
      </c>
      <c r="B371" s="4" t="str">
        <f aca="false">IFERROR(INDEX('Region Lookup'!$B$2:$B$233,MATCH(A371,'Region Lookup'!$A$2:$A$233,0)),"Not found")</f>
        <v>Europe &amp; Central Asia</v>
      </c>
      <c r="C371" s="4" t="n">
        <v>2020</v>
      </c>
      <c r="D371" s="6" t="n">
        <v>8737.370117</v>
      </c>
      <c r="E371" s="7" t="n">
        <v>56.44599915</v>
      </c>
      <c r="F371" s="7" t="n">
        <v>95.29552932</v>
      </c>
      <c r="G371" s="7" t="n">
        <v>4.244199279</v>
      </c>
      <c r="H371" s="7" t="n">
        <v>0.4437204778</v>
      </c>
      <c r="I371" s="7" t="n">
        <v>0.01655092647</v>
      </c>
      <c r="J371" s="7" t="n">
        <v>95.84497475</v>
      </c>
      <c r="K371" s="7" t="n">
        <v>3.545864028</v>
      </c>
      <c r="L371" s="7" t="n">
        <v>0.5711602866</v>
      </c>
      <c r="M371" s="7" t="n">
        <v>0.03800093141</v>
      </c>
      <c r="N371" s="7" t="n">
        <v>94.87156989</v>
      </c>
      <c r="O371" s="7" t="n">
        <v>4.783037865</v>
      </c>
      <c r="P371" s="7" t="n">
        <v>0.3453922445</v>
      </c>
      <c r="Q371" s="7" t="n">
        <v>0</v>
      </c>
      <c r="R371" s="8" t="str">
        <f aca="false">IF($A371=$A372,$C372-$C371,"")</f>
        <v/>
      </c>
      <c r="S371" s="9" t="str">
        <f aca="false">IF(AND($A371=$A372,ISNUMBER(F371),ISNUMBER(F372)),(F372-F371)/($C372-$C371),"")</f>
        <v/>
      </c>
      <c r="T371" s="9" t="str">
        <f aca="false">IF(AND($A371=$A372,ISNUMBER(J371),ISNUMBER(J372)),(J372-J371)/($C372-$C371),"")</f>
        <v/>
      </c>
      <c r="U371" s="9" t="str">
        <f aca="false">IF(AND($A371=$A372,ISNUMBER(N371),ISNUMBER(N372)),(N372-N371)/($C372-$C371),"")</f>
        <v/>
      </c>
      <c r="V371" s="8" t="n">
        <f aca="false">IF(ISNUMBER(F371),ROUND(F371,0),"")</f>
        <v>95</v>
      </c>
      <c r="W371" s="8" t="n">
        <f aca="false">IF(ISNUMBER(J371),ROUND(J371,0),"")</f>
        <v>96</v>
      </c>
      <c r="X371" s="8" t="n">
        <f aca="false">IF(ISNUMBER(N371),ROUND(N371,0),"")</f>
        <v>95</v>
      </c>
      <c r="Y371" s="4" t="str">
        <f aca="false">IF(AND($A371=$A372,V371=100,V372=100),"full access","")</f>
        <v/>
      </c>
      <c r="Z371" s="4" t="str">
        <f aca="false">IF(AND($A371=$A372,W371=100,W372=100),"full access","")</f>
        <v/>
      </c>
      <c r="AA371" s="4" t="str">
        <f aca="false">IF(AND($A371=$A372,X371=100,X372=100),"full access","")</f>
        <v/>
      </c>
      <c r="AB371" s="9" t="str">
        <f aca="false">IF(AND(ISNUMBER(T371),ISNUMBER(U371)),T371-U371,"")</f>
        <v/>
      </c>
    </row>
    <row r="372" customFormat="false" ht="15" hidden="false" customHeight="false" outlineLevel="0" collapsed="false">
      <c r="A372" s="10" t="s">
        <v>268</v>
      </c>
      <c r="B372" s="10" t="str">
        <f aca="false">IFERROR(INDEX('Region Lookup'!$B$2:$B$233,MATCH(A372,'Region Lookup'!$A$2:$A$233,0)),"Not found")</f>
        <v>East Asia &amp; Pacific</v>
      </c>
      <c r="C372" s="10" t="n">
        <v>2015</v>
      </c>
      <c r="D372" s="11" t="n">
        <v>94.98100281</v>
      </c>
      <c r="E372" s="12" t="n">
        <v>55.40000153</v>
      </c>
      <c r="F372" s="12" t="n">
        <v>96.2508915</v>
      </c>
      <c r="G372" s="12" t="n">
        <v>0</v>
      </c>
      <c r="H372" s="12" t="n">
        <v>0</v>
      </c>
      <c r="I372" s="12" t="n">
        <v>3.749108502</v>
      </c>
      <c r="J372" s="12"/>
      <c r="K372" s="12"/>
      <c r="L372" s="12"/>
      <c r="M372" s="12"/>
      <c r="N372" s="12"/>
      <c r="O372" s="12"/>
      <c r="P372" s="12"/>
      <c r="Q372" s="12"/>
      <c r="R372" s="13" t="n">
        <f aca="false">IF($A372=$A373,$C373-$C372,"")</f>
        <v>4</v>
      </c>
      <c r="S372" s="14" t="n">
        <f aca="false">IF(AND($A372=$A373,ISNUMBER(F372),ISNUMBER(F373)),(F373-F372)/($C373-$C372),"")</f>
        <v>0.150213847500002</v>
      </c>
      <c r="T372" s="14" t="str">
        <f aca="false">IF(AND($A372=$A373,ISNUMBER(J372),ISNUMBER(J373)),(J373-J372)/($C373-$C372),"")</f>
        <v/>
      </c>
      <c r="U372" s="14" t="str">
        <f aca="false">IF(AND($A372=$A373,ISNUMBER(N372),ISNUMBER(N373)),(N373-N372)/($C373-$C372),"")</f>
        <v/>
      </c>
      <c r="V372" s="13" t="n">
        <f aca="false">IF(ISNUMBER(F372),ROUND(F372,0),"")</f>
        <v>96</v>
      </c>
      <c r="W372" s="13" t="str">
        <f aca="false">IF(ISNUMBER(J372),ROUND(J372,0),"")</f>
        <v/>
      </c>
      <c r="X372" s="13" t="str">
        <f aca="false">IF(ISNUMBER(N372),ROUND(N372,0),"")</f>
        <v/>
      </c>
      <c r="Y372" s="10" t="str">
        <f aca="false">IF(AND($A372=$A373,V372=100,V373=100),"full access","")</f>
        <v/>
      </c>
      <c r="Z372" s="10" t="str">
        <f aca="false">IF(AND($A372=$A373,W372=100,W373=100),"full access","")</f>
        <v/>
      </c>
      <c r="AA372" s="10" t="str">
        <f aca="false">IF(AND($A372=$A373,X372=100,X373=100),"full access","")</f>
        <v/>
      </c>
      <c r="AB372" s="14" t="str">
        <f aca="false">IF(AND(ISNUMBER(T372),ISNUMBER(U372)),T372-U372,"")</f>
        <v/>
      </c>
    </row>
    <row r="373" customFormat="false" ht="15" hidden="false" customHeight="false" outlineLevel="0" collapsed="false">
      <c r="A373" s="10" t="s">
        <v>268</v>
      </c>
      <c r="B373" s="10" t="str">
        <f aca="false">IFERROR(INDEX('Region Lookup'!$B$2:$B$233,MATCH(A373,'Region Lookup'!$A$2:$A$233,0)),"Not found")</f>
        <v>East Asia &amp; Pacific</v>
      </c>
      <c r="C373" s="10" t="n">
        <v>2019</v>
      </c>
      <c r="D373" s="11" t="n">
        <v>97.74099731</v>
      </c>
      <c r="E373" s="12" t="n">
        <v>57.1190033</v>
      </c>
      <c r="F373" s="12" t="n">
        <v>96.85174689</v>
      </c>
      <c r="G373" s="12" t="n">
        <v>0</v>
      </c>
      <c r="H373" s="12" t="n">
        <v>3.148253109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3" t="str">
        <f aca="false">IF($A373=$A374,$C374-$C373,"")</f>
        <v/>
      </c>
      <c r="S373" s="14" t="str">
        <f aca="false">IF(AND($A373=$A374,ISNUMBER(F373),ISNUMBER(F374)),(F374-F373)/($C374-$C373),"")</f>
        <v/>
      </c>
      <c r="T373" s="14" t="str">
        <f aca="false">IF(AND($A373=$A374,ISNUMBER(J373),ISNUMBER(J374)),(J374-J373)/($C374-$C373),"")</f>
        <v/>
      </c>
      <c r="U373" s="14" t="str">
        <f aca="false">IF(AND($A373=$A374,ISNUMBER(N373),ISNUMBER(N374)),(N374-N373)/($C374-$C373),"")</f>
        <v/>
      </c>
      <c r="V373" s="13" t="n">
        <f aca="false">IF(ISNUMBER(F373),ROUND(F373,0),"")</f>
        <v>97</v>
      </c>
      <c r="W373" s="13" t="str">
        <f aca="false">IF(ISNUMBER(J373),ROUND(J373,0),"")</f>
        <v/>
      </c>
      <c r="X373" s="13" t="str">
        <f aca="false">IF(ISNUMBER(N373),ROUND(N373,0),"")</f>
        <v/>
      </c>
      <c r="Y373" s="10" t="str">
        <f aca="false">IF(AND($A373=$A374,V373=100,V374=100),"full access","")</f>
        <v/>
      </c>
      <c r="Z373" s="10" t="str">
        <f aca="false">IF(AND($A373=$A374,W373=100,W374=100),"full access","")</f>
        <v/>
      </c>
      <c r="AA373" s="10" t="str">
        <f aca="false">IF(AND($A373=$A374,X373=100,X374=100),"full access","")</f>
        <v/>
      </c>
      <c r="AB373" s="14" t="str">
        <f aca="false">IF(AND(ISNUMBER(T373),ISNUMBER(U373)),T373-U373,"")</f>
        <v/>
      </c>
    </row>
    <row r="374" customFormat="false" ht="15" hidden="false" customHeight="false" outlineLevel="0" collapsed="false">
      <c r="A374" s="4" t="s">
        <v>269</v>
      </c>
      <c r="B374" s="4" t="str">
        <f aca="false">IFERROR(INDEX('Region Lookup'!$B$2:$B$233,MATCH(A374,'Region Lookup'!$A$2:$A$233,0)),"Not found")</f>
        <v>Sub-Saharan Africa</v>
      </c>
      <c r="C374" s="4" t="n">
        <v>2015</v>
      </c>
      <c r="D374" s="6" t="n">
        <v>7171.90918</v>
      </c>
      <c r="E374" s="7" t="n">
        <v>40.82899857</v>
      </c>
      <c r="F374" s="7" t="n">
        <v>57.84746516</v>
      </c>
      <c r="G374" s="7" t="n">
        <v>8.196957957</v>
      </c>
      <c r="H374" s="7" t="n">
        <v>15.91095456</v>
      </c>
      <c r="I374" s="7" t="n">
        <v>18.04462232</v>
      </c>
      <c r="J374" s="7" t="n">
        <v>45.52971384</v>
      </c>
      <c r="K374" s="7" t="n">
        <v>4.840494472</v>
      </c>
      <c r="L374" s="7" t="n">
        <v>21.71696143</v>
      </c>
      <c r="M374" s="7" t="n">
        <v>27.91283027</v>
      </c>
      <c r="N374" s="7" t="n">
        <v>75.69883758</v>
      </c>
      <c r="O374" s="7" t="n">
        <v>13.06127759</v>
      </c>
      <c r="P374" s="7" t="n">
        <v>7.496659761</v>
      </c>
      <c r="Q374" s="7" t="n">
        <v>3.743225068</v>
      </c>
      <c r="R374" s="8" t="n">
        <f aca="false">IF($A374=$A375,$C375-$C374,"")</f>
        <v>5</v>
      </c>
      <c r="S374" s="9" t="n">
        <f aca="false">IF(AND($A374=$A375,ISNUMBER(F374),ISNUMBER(F375)),(F375-F374)/($C375-$C374),"")</f>
        <v>1.183764092</v>
      </c>
      <c r="T374" s="9" t="n">
        <f aca="false">IF(AND($A374=$A375,ISNUMBER(J374),ISNUMBER(J375)),(J375-J374)/($C375-$C374),"")</f>
        <v>1.444597766</v>
      </c>
      <c r="U374" s="9" t="n">
        <f aca="false">IF(AND($A374=$A375,ISNUMBER(N374),ISNUMBER(N375)),(N375-N374)/($C375-$C374),"")</f>
        <v>0.542560015999999</v>
      </c>
      <c r="V374" s="8" t="n">
        <f aca="false">IF(ISNUMBER(F374),ROUND(F374,0),"")</f>
        <v>58</v>
      </c>
      <c r="W374" s="8" t="n">
        <f aca="false">IF(ISNUMBER(J374),ROUND(J374,0),"")</f>
        <v>46</v>
      </c>
      <c r="X374" s="8" t="n">
        <f aca="false">IF(ISNUMBER(N374),ROUND(N374,0),"")</f>
        <v>76</v>
      </c>
      <c r="Y374" s="4" t="str">
        <f aca="false">IF(AND($A374=$A375,V374=100,V375=100),"full access","")</f>
        <v/>
      </c>
      <c r="Z374" s="4" t="str">
        <f aca="false">IF(AND($A374=$A375,W374=100,W375=100),"full access","")</f>
        <v/>
      </c>
      <c r="AA374" s="4" t="str">
        <f aca="false">IF(AND($A374=$A375,X374=100,X375=100),"full access","")</f>
        <v/>
      </c>
      <c r="AB374" s="9" t="n">
        <f aca="false">IF(AND(ISNUMBER(T374),ISNUMBER(U374)),T374-U374,"")</f>
        <v>0.902037750000001</v>
      </c>
    </row>
    <row r="375" customFormat="false" ht="15" hidden="false" customHeight="false" outlineLevel="0" collapsed="false">
      <c r="A375" s="4" t="s">
        <v>269</v>
      </c>
      <c r="B375" s="4" t="str">
        <f aca="false">IFERROR(INDEX('Region Lookup'!$B$2:$B$233,MATCH(A375,'Region Lookup'!$A$2:$A$233,0)),"Not found")</f>
        <v>Sub-Saharan Africa</v>
      </c>
      <c r="C375" s="4" t="n">
        <v>2020</v>
      </c>
      <c r="D375" s="6" t="n">
        <v>7976.984863</v>
      </c>
      <c r="E375" s="7" t="n">
        <v>42.92300034</v>
      </c>
      <c r="F375" s="7" t="n">
        <v>63.76628562</v>
      </c>
      <c r="G375" s="7" t="n">
        <v>9.023316357</v>
      </c>
      <c r="H375" s="7" t="n">
        <v>15.5639457</v>
      </c>
      <c r="I375" s="7" t="n">
        <v>11.64645233</v>
      </c>
      <c r="J375" s="7" t="n">
        <v>52.75270267</v>
      </c>
      <c r="K375" s="7" t="n">
        <v>5.221136889</v>
      </c>
      <c r="L375" s="7" t="n">
        <v>23.14294909</v>
      </c>
      <c r="M375" s="7" t="n">
        <v>18.88321135</v>
      </c>
      <c r="N375" s="7" t="n">
        <v>78.41163766</v>
      </c>
      <c r="O375" s="7" t="n">
        <v>14.07927743</v>
      </c>
      <c r="P375" s="7" t="n">
        <v>5.485735437</v>
      </c>
      <c r="Q375" s="7" t="n">
        <v>2.023349475</v>
      </c>
      <c r="R375" s="8" t="str">
        <f aca="false">IF($A375=$A376,$C376-$C375,"")</f>
        <v/>
      </c>
      <c r="S375" s="9" t="str">
        <f aca="false">IF(AND($A375=$A376,ISNUMBER(F375),ISNUMBER(F376)),(F376-F375)/($C376-$C375),"")</f>
        <v/>
      </c>
      <c r="T375" s="9" t="str">
        <f aca="false">IF(AND($A375=$A376,ISNUMBER(J375),ISNUMBER(J376)),(J376-J375)/($C376-$C375),"")</f>
        <v/>
      </c>
      <c r="U375" s="9" t="str">
        <f aca="false">IF(AND($A375=$A376,ISNUMBER(N375),ISNUMBER(N376)),(N376-N375)/($C376-$C375),"")</f>
        <v/>
      </c>
      <c r="V375" s="8" t="n">
        <f aca="false">IF(ISNUMBER(F375),ROUND(F375,0),"")</f>
        <v>64</v>
      </c>
      <c r="W375" s="8" t="n">
        <f aca="false">IF(ISNUMBER(J375),ROUND(J375,0),"")</f>
        <v>53</v>
      </c>
      <c r="X375" s="8" t="n">
        <f aca="false">IF(ISNUMBER(N375),ROUND(N375,0),"")</f>
        <v>78</v>
      </c>
      <c r="Y375" s="4" t="str">
        <f aca="false">IF(AND($A375=$A376,V375=100,V376=100),"full access","")</f>
        <v/>
      </c>
      <c r="Z375" s="4" t="str">
        <f aca="false">IF(AND($A375=$A376,W375=100,W376=100),"full access","")</f>
        <v/>
      </c>
      <c r="AA375" s="4" t="str">
        <f aca="false">IF(AND($A375=$A376,X375=100,X376=100),"full access","")</f>
        <v/>
      </c>
      <c r="AB375" s="9" t="str">
        <f aca="false">IF(AND(ISNUMBER(T375),ISNUMBER(U375)),T375-U375,"")</f>
        <v/>
      </c>
    </row>
    <row r="376" customFormat="false" ht="15" hidden="false" customHeight="false" outlineLevel="0" collapsed="false">
      <c r="A376" s="10" t="s">
        <v>270</v>
      </c>
      <c r="B376" s="10" t="str">
        <f aca="false">IFERROR(INDEX('Region Lookup'!$B$2:$B$233,MATCH(A376,'Region Lookup'!$A$2:$A$233,0)),"Not found")</f>
        <v>East Asia &amp; Pacific</v>
      </c>
      <c r="C376" s="10" t="n">
        <v>2015</v>
      </c>
      <c r="D376" s="11" t="n">
        <v>5592.143066</v>
      </c>
      <c r="E376" s="12" t="n">
        <v>100</v>
      </c>
      <c r="F376" s="12" t="n">
        <v>100</v>
      </c>
      <c r="G376" s="12" t="n">
        <v>0</v>
      </c>
      <c r="H376" s="12" t="n">
        <v>0</v>
      </c>
      <c r="I376" s="12" t="n">
        <v>0</v>
      </c>
      <c r="J376" s="12"/>
      <c r="K376" s="12"/>
      <c r="L376" s="12"/>
      <c r="M376" s="12"/>
      <c r="N376" s="12" t="n">
        <v>100</v>
      </c>
      <c r="O376" s="12" t="n">
        <v>0</v>
      </c>
      <c r="P376" s="12" t="n">
        <v>0</v>
      </c>
      <c r="Q376" s="12" t="n">
        <v>0</v>
      </c>
      <c r="R376" s="13" t="n">
        <f aca="false">IF($A376=$A377,$C377-$C376,"")</f>
        <v>5</v>
      </c>
      <c r="S376" s="14" t="n">
        <f aca="false">IF(AND($A376=$A377,ISNUMBER(F376),ISNUMBER(F377)),(F377-F376)/($C377-$C376),"")</f>
        <v>0</v>
      </c>
      <c r="T376" s="14" t="str">
        <f aca="false">IF(AND($A376=$A377,ISNUMBER(J376),ISNUMBER(J377)),(J377-J376)/($C377-$C376),"")</f>
        <v/>
      </c>
      <c r="U376" s="14" t="n">
        <f aca="false">IF(AND($A376=$A377,ISNUMBER(N376),ISNUMBER(N377)),(N377-N376)/($C377-$C376),"")</f>
        <v>0</v>
      </c>
      <c r="V376" s="13" t="n">
        <f aca="false">IF(ISNUMBER(F376),ROUND(F376,0),"")</f>
        <v>100</v>
      </c>
      <c r="W376" s="13" t="str">
        <f aca="false">IF(ISNUMBER(J376),ROUND(J376,0),"")</f>
        <v/>
      </c>
      <c r="X376" s="13" t="n">
        <f aca="false">IF(ISNUMBER(N376),ROUND(N376,0),"")</f>
        <v>100</v>
      </c>
      <c r="Y376" s="10" t="str">
        <f aca="false">IF(AND($A376=$A377,V376=100,V377=100),"full access","")</f>
        <v>full access</v>
      </c>
      <c r="Z376" s="10" t="str">
        <f aca="false">IF(AND($A376=$A377,W376=100,W377=100),"full access","")</f>
        <v/>
      </c>
      <c r="AA376" s="10" t="str">
        <f aca="false">IF(AND($A376=$A377,X376=100,X377=100),"full access","")</f>
        <v>full access</v>
      </c>
      <c r="AB376" s="14" t="str">
        <f aca="false">IF(AND(ISNUMBER(T376),ISNUMBER(U376)),T376-U376,"")</f>
        <v/>
      </c>
    </row>
    <row r="377" customFormat="false" ht="15" hidden="false" customHeight="false" outlineLevel="0" collapsed="false">
      <c r="A377" s="10" t="s">
        <v>270</v>
      </c>
      <c r="B377" s="10" t="str">
        <f aca="false">IFERROR(INDEX('Region Lookup'!$B$2:$B$233,MATCH(A377,'Region Lookup'!$A$2:$A$233,0)),"Not found")</f>
        <v>East Asia &amp; Pacific</v>
      </c>
      <c r="C377" s="10" t="n">
        <v>2020</v>
      </c>
      <c r="D377" s="11" t="n">
        <v>5850.342773</v>
      </c>
      <c r="E377" s="12" t="n">
        <v>100</v>
      </c>
      <c r="F377" s="12" t="n">
        <v>100</v>
      </c>
      <c r="G377" s="12" t="n">
        <v>0</v>
      </c>
      <c r="H377" s="12" t="n">
        <v>0</v>
      </c>
      <c r="I377" s="12" t="n">
        <v>0</v>
      </c>
      <c r="J377" s="12"/>
      <c r="K377" s="12"/>
      <c r="L377" s="12"/>
      <c r="M377" s="12"/>
      <c r="N377" s="12" t="n">
        <v>100</v>
      </c>
      <c r="O377" s="12" t="n">
        <v>0</v>
      </c>
      <c r="P377" s="12" t="n">
        <v>0</v>
      </c>
      <c r="Q377" s="12" t="n">
        <v>0</v>
      </c>
      <c r="R377" s="13" t="str">
        <f aca="false">IF($A377=$A378,$C378-$C377,"")</f>
        <v/>
      </c>
      <c r="S377" s="14" t="str">
        <f aca="false">IF(AND($A377=$A378,ISNUMBER(F377),ISNUMBER(F378)),(F378-F377)/($C378-$C377),"")</f>
        <v/>
      </c>
      <c r="T377" s="14" t="str">
        <f aca="false">IF(AND($A377=$A378,ISNUMBER(J377),ISNUMBER(J378)),(J378-J377)/($C378-$C377),"")</f>
        <v/>
      </c>
      <c r="U377" s="14" t="str">
        <f aca="false">IF(AND($A377=$A378,ISNUMBER(N377),ISNUMBER(N378)),(N378-N377)/($C378-$C377),"")</f>
        <v/>
      </c>
      <c r="V377" s="13" t="n">
        <f aca="false">IF(ISNUMBER(F377),ROUND(F377,0),"")</f>
        <v>100</v>
      </c>
      <c r="W377" s="13" t="str">
        <f aca="false">IF(ISNUMBER(J377),ROUND(J377,0),"")</f>
        <v/>
      </c>
      <c r="X377" s="13" t="n">
        <f aca="false">IF(ISNUMBER(N377),ROUND(N377,0),"")</f>
        <v>100</v>
      </c>
      <c r="Y377" s="10" t="str">
        <f aca="false">IF(AND($A377=$A378,V377=100,V378=100),"full access","")</f>
        <v/>
      </c>
      <c r="Z377" s="10" t="str">
        <f aca="false">IF(AND($A377=$A378,W377=100,W378=100),"full access","")</f>
        <v/>
      </c>
      <c r="AA377" s="10" t="str">
        <f aca="false">IF(AND($A377=$A378,X377=100,X378=100),"full access","")</f>
        <v/>
      </c>
      <c r="AB377" s="14" t="str">
        <f aca="false">IF(AND(ISNUMBER(T377),ISNUMBER(U377)),T377-U377,"")</f>
        <v/>
      </c>
    </row>
    <row r="378" customFormat="false" ht="15" hidden="false" customHeight="false" outlineLevel="0" collapsed="false">
      <c r="A378" s="4" t="s">
        <v>271</v>
      </c>
      <c r="B378" s="4" t="str">
        <f aca="false">IFERROR(INDEX('Region Lookup'!$B$2:$B$233,MATCH(A378,'Region Lookup'!$A$2:$A$233,0)),"Not found")</f>
        <v>Latin America &amp; Caribbean</v>
      </c>
      <c r="C378" s="4" t="n">
        <v>2015</v>
      </c>
      <c r="D378" s="6" t="n">
        <v>39.96699905</v>
      </c>
      <c r="E378" s="7" t="n">
        <v>100</v>
      </c>
      <c r="F378" s="7" t="n">
        <v>95.31117933</v>
      </c>
      <c r="G378" s="7" t="n">
        <v>0</v>
      </c>
      <c r="H378" s="7" t="n">
        <v>4.68882067</v>
      </c>
      <c r="I378" s="7" t="n">
        <v>0</v>
      </c>
      <c r="J378" s="7"/>
      <c r="K378" s="7"/>
      <c r="L378" s="7"/>
      <c r="M378" s="7"/>
      <c r="N378" s="7" t="n">
        <v>95.31117933</v>
      </c>
      <c r="O378" s="7" t="n">
        <v>0</v>
      </c>
      <c r="P378" s="7" t="n">
        <v>4.68882067</v>
      </c>
      <c r="Q378" s="7" t="n">
        <v>0</v>
      </c>
      <c r="R378" s="8" t="n">
        <f aca="false">IF($A378=$A379,$C379-$C378,"")</f>
        <v>2</v>
      </c>
      <c r="S378" s="9" t="n">
        <f aca="false">IF(AND($A378=$A379,ISNUMBER(F378),ISNUMBER(F379)),(F379-F378)/($C379-$C378),"")</f>
        <v>0</v>
      </c>
      <c r="T378" s="9" t="str">
        <f aca="false">IF(AND($A378=$A379,ISNUMBER(J378),ISNUMBER(J379)),(J379-J378)/($C379-$C378),"")</f>
        <v/>
      </c>
      <c r="U378" s="9" t="n">
        <f aca="false">IF(AND($A378=$A379,ISNUMBER(N378),ISNUMBER(N379)),(N379-N378)/($C379-$C378),"")</f>
        <v>0</v>
      </c>
      <c r="V378" s="8" t="n">
        <f aca="false">IF(ISNUMBER(F378),ROUND(F378,0),"")</f>
        <v>95</v>
      </c>
      <c r="W378" s="8" t="str">
        <f aca="false">IF(ISNUMBER(J378),ROUND(J378,0),"")</f>
        <v/>
      </c>
      <c r="X378" s="8" t="n">
        <f aca="false">IF(ISNUMBER(N378),ROUND(N378,0),"")</f>
        <v>95</v>
      </c>
      <c r="Y378" s="4" t="str">
        <f aca="false">IF(AND($A378=$A379,V378=100,V379=100),"full access","")</f>
        <v/>
      </c>
      <c r="Z378" s="4" t="str">
        <f aca="false">IF(AND($A378=$A379,W378=100,W379=100),"full access","")</f>
        <v/>
      </c>
      <c r="AA378" s="4" t="str">
        <f aca="false">IF(AND($A378=$A379,X378=100,X379=100),"full access","")</f>
        <v/>
      </c>
      <c r="AB378" s="9" t="str">
        <f aca="false">IF(AND(ISNUMBER(T378),ISNUMBER(U378)),T378-U378,"")</f>
        <v/>
      </c>
    </row>
    <row r="379" customFormat="false" ht="15" hidden="false" customHeight="false" outlineLevel="0" collapsed="false">
      <c r="A379" s="4" t="s">
        <v>271</v>
      </c>
      <c r="B379" s="4" t="str">
        <f aca="false">IFERROR(INDEX('Region Lookup'!$B$2:$B$233,MATCH(A379,'Region Lookup'!$A$2:$A$233,0)),"Not found")</f>
        <v>Latin America &amp; Caribbean</v>
      </c>
      <c r="C379" s="4" t="n">
        <v>2017</v>
      </c>
      <c r="D379" s="6" t="n">
        <v>41.44400024</v>
      </c>
      <c r="E379" s="7" t="n">
        <v>100</v>
      </c>
      <c r="F379" s="7" t="n">
        <v>95.31117933</v>
      </c>
      <c r="G379" s="7" t="n">
        <v>0</v>
      </c>
      <c r="H379" s="7" t="n">
        <v>4.68882067</v>
      </c>
      <c r="I379" s="7" t="n">
        <v>0</v>
      </c>
      <c r="J379" s="7"/>
      <c r="K379" s="7"/>
      <c r="L379" s="7"/>
      <c r="M379" s="7"/>
      <c r="N379" s="7" t="n">
        <v>95.31117933</v>
      </c>
      <c r="O379" s="7" t="n">
        <v>0</v>
      </c>
      <c r="P379" s="7" t="n">
        <v>4.68882067</v>
      </c>
      <c r="Q379" s="7" t="n">
        <v>0</v>
      </c>
      <c r="R379" s="8" t="str">
        <f aca="false">IF($A379=$A380,$C380-$C379,"")</f>
        <v/>
      </c>
      <c r="S379" s="9" t="str">
        <f aca="false">IF(AND($A379=$A380,ISNUMBER(F379),ISNUMBER(F380)),(F380-F379)/($C380-$C379),"")</f>
        <v/>
      </c>
      <c r="T379" s="9" t="str">
        <f aca="false">IF(AND($A379=$A380,ISNUMBER(J379),ISNUMBER(J380)),(J380-J379)/($C380-$C379),"")</f>
        <v/>
      </c>
      <c r="U379" s="9" t="str">
        <f aca="false">IF(AND($A379=$A380,ISNUMBER(N379),ISNUMBER(N380)),(N380-N379)/($C380-$C379),"")</f>
        <v/>
      </c>
      <c r="V379" s="8" t="n">
        <f aca="false">IF(ISNUMBER(F379),ROUND(F379,0),"")</f>
        <v>95</v>
      </c>
      <c r="W379" s="8" t="str">
        <f aca="false">IF(ISNUMBER(J379),ROUND(J379,0),"")</f>
        <v/>
      </c>
      <c r="X379" s="8" t="n">
        <f aca="false">IF(ISNUMBER(N379),ROUND(N379,0),"")</f>
        <v>95</v>
      </c>
      <c r="Y379" s="4" t="str">
        <f aca="false">IF(AND($A379=$A380,V379=100,V380=100),"full access","")</f>
        <v/>
      </c>
      <c r="Z379" s="4" t="str">
        <f aca="false">IF(AND($A379=$A380,W379=100,W380=100),"full access","")</f>
        <v/>
      </c>
      <c r="AA379" s="4" t="str">
        <f aca="false">IF(AND($A379=$A380,X379=100,X380=100),"full access","")</f>
        <v/>
      </c>
      <c r="AB379" s="9" t="str">
        <f aca="false">IF(AND(ISNUMBER(T379),ISNUMBER(U379)),T379-U379,"")</f>
        <v/>
      </c>
    </row>
    <row r="380" customFormat="false" ht="15" hidden="false" customHeight="false" outlineLevel="0" collapsed="false">
      <c r="A380" s="10" t="s">
        <v>272</v>
      </c>
      <c r="B380" s="10" t="str">
        <f aca="false">IFERROR(INDEX('Region Lookup'!$B$2:$B$233,MATCH(A380,'Region Lookup'!$A$2:$A$233,0)),"Not found")</f>
        <v>Europe &amp; Central Asia</v>
      </c>
      <c r="C380" s="10" t="n">
        <v>2015</v>
      </c>
      <c r="D380" s="11" t="n">
        <v>5435.61377</v>
      </c>
      <c r="E380" s="12" t="n">
        <v>53.88899994</v>
      </c>
      <c r="F380" s="12" t="n">
        <v>99.78718913</v>
      </c>
      <c r="G380" s="12" t="n">
        <v>0.2128108674</v>
      </c>
      <c r="H380" s="12" t="n">
        <v>0</v>
      </c>
      <c r="I380" s="12" t="n">
        <v>0</v>
      </c>
      <c r="J380" s="12" t="n">
        <v>100</v>
      </c>
      <c r="K380" s="12" t="n">
        <v>0</v>
      </c>
      <c r="L380" s="12" t="n">
        <v>0</v>
      </c>
      <c r="M380" s="12" t="n">
        <v>0</v>
      </c>
      <c r="N380" s="12" t="n">
        <v>99.60509406</v>
      </c>
      <c r="O380" s="12" t="n">
        <v>0.3949059374</v>
      </c>
      <c r="P380" s="12" t="n">
        <v>0</v>
      </c>
      <c r="Q380" s="12" t="n">
        <v>0</v>
      </c>
      <c r="R380" s="13" t="n">
        <f aca="false">IF($A380=$A381,$C381-$C380,"")</f>
        <v>5</v>
      </c>
      <c r="S380" s="14" t="n">
        <f aca="false">IF(AND($A380=$A381,ISNUMBER(F380),ISNUMBER(F381)),(F381-F380)/($C381-$C380),"")</f>
        <v>0.000101889999999116</v>
      </c>
      <c r="T380" s="14" t="n">
        <f aca="false">IF(AND($A380=$A381,ISNUMBER(J380),ISNUMBER(J381)),(J381-J380)/($C381-$C380),"")</f>
        <v>0</v>
      </c>
      <c r="U380" s="14" t="n">
        <f aca="false">IF(AND($A380=$A381,ISNUMBER(N380),ISNUMBER(N381)),(N381-N380)/($C381-$C380),"")</f>
        <v>0</v>
      </c>
      <c r="V380" s="13" t="n">
        <f aca="false">IF(ISNUMBER(F380),ROUND(F380,0),"")</f>
        <v>100</v>
      </c>
      <c r="W380" s="13" t="n">
        <f aca="false">IF(ISNUMBER(J380),ROUND(J380,0),"")</f>
        <v>100</v>
      </c>
      <c r="X380" s="13" t="n">
        <f aca="false">IF(ISNUMBER(N380),ROUND(N380,0),"")</f>
        <v>100</v>
      </c>
      <c r="Y380" s="10" t="str">
        <f aca="false">IF(AND($A380=$A381,V380=100,V381=100),"full access","")</f>
        <v>full access</v>
      </c>
      <c r="Z380" s="10" t="str">
        <f aca="false">IF(AND($A380=$A381,W380=100,W381=100),"full access","")</f>
        <v>full access</v>
      </c>
      <c r="AA380" s="10" t="str">
        <f aca="false">IF(AND($A380=$A381,X380=100,X381=100),"full access","")</f>
        <v>full access</v>
      </c>
      <c r="AB380" s="14" t="n">
        <f aca="false">IF(AND(ISNUMBER(T380),ISNUMBER(U380)),T380-U380,"")</f>
        <v>0</v>
      </c>
    </row>
    <row r="381" customFormat="false" ht="15" hidden="false" customHeight="false" outlineLevel="0" collapsed="false">
      <c r="A381" s="10" t="s">
        <v>272</v>
      </c>
      <c r="B381" s="10" t="str">
        <f aca="false">IFERROR(INDEX('Region Lookup'!$B$2:$B$233,MATCH(A381,'Region Lookup'!$A$2:$A$233,0)),"Not found")</f>
        <v>Europe &amp; Central Asia</v>
      </c>
      <c r="C381" s="10" t="n">
        <v>2020</v>
      </c>
      <c r="D381" s="11" t="n">
        <v>5459.643066</v>
      </c>
      <c r="E381" s="12" t="n">
        <v>53.75999832</v>
      </c>
      <c r="F381" s="12" t="n">
        <v>99.78769858</v>
      </c>
      <c r="G381" s="12" t="n">
        <v>0.2123014241</v>
      </c>
      <c r="H381" s="12" t="n">
        <v>0</v>
      </c>
      <c r="I381" s="12" t="n">
        <v>0</v>
      </c>
      <c r="J381" s="12" t="n">
        <v>100</v>
      </c>
      <c r="K381" s="12" t="n">
        <v>0</v>
      </c>
      <c r="L381" s="12" t="n">
        <v>0</v>
      </c>
      <c r="M381" s="12" t="n">
        <v>0</v>
      </c>
      <c r="N381" s="12" t="n">
        <v>99.60509406</v>
      </c>
      <c r="O381" s="12" t="n">
        <v>0.3949059374</v>
      </c>
      <c r="P381" s="12" t="n">
        <v>0</v>
      </c>
      <c r="Q381" s="12" t="n">
        <v>0</v>
      </c>
      <c r="R381" s="13" t="str">
        <f aca="false">IF($A381=$A382,$C382-$C381,"")</f>
        <v/>
      </c>
      <c r="S381" s="14" t="str">
        <f aca="false">IF(AND($A381=$A382,ISNUMBER(F381),ISNUMBER(F382)),(F382-F381)/($C382-$C381),"")</f>
        <v/>
      </c>
      <c r="T381" s="14" t="str">
        <f aca="false">IF(AND($A381=$A382,ISNUMBER(J381),ISNUMBER(J382)),(J382-J381)/($C382-$C381),"")</f>
        <v/>
      </c>
      <c r="U381" s="14" t="str">
        <f aca="false">IF(AND($A381=$A382,ISNUMBER(N381),ISNUMBER(N382)),(N382-N381)/($C382-$C381),"")</f>
        <v/>
      </c>
      <c r="V381" s="13" t="n">
        <f aca="false">IF(ISNUMBER(F381),ROUND(F381,0),"")</f>
        <v>100</v>
      </c>
      <c r="W381" s="13" t="n">
        <f aca="false">IF(ISNUMBER(J381),ROUND(J381,0),"")</f>
        <v>100</v>
      </c>
      <c r="X381" s="13" t="n">
        <f aca="false">IF(ISNUMBER(N381),ROUND(N381,0),"")</f>
        <v>100</v>
      </c>
      <c r="Y381" s="10" t="str">
        <f aca="false">IF(AND($A381=$A382,V381=100,V382=100),"full access","")</f>
        <v/>
      </c>
      <c r="Z381" s="10" t="str">
        <f aca="false">IF(AND($A381=$A382,W381=100,W382=100),"full access","")</f>
        <v/>
      </c>
      <c r="AA381" s="10" t="str">
        <f aca="false">IF(AND($A381=$A382,X381=100,X382=100),"full access","")</f>
        <v/>
      </c>
      <c r="AB381" s="14" t="str">
        <f aca="false">IF(AND(ISNUMBER(T381),ISNUMBER(U381)),T381-U381,"")</f>
        <v/>
      </c>
    </row>
    <row r="382" customFormat="false" ht="15" hidden="false" customHeight="false" outlineLevel="0" collapsed="false">
      <c r="A382" s="4" t="s">
        <v>273</v>
      </c>
      <c r="B382" s="4" t="str">
        <f aca="false">IFERROR(INDEX('Region Lookup'!$B$2:$B$233,MATCH(A382,'Region Lookup'!$A$2:$A$233,0)),"Not found")</f>
        <v>Europe &amp; Central Asia</v>
      </c>
      <c r="C382" s="4" t="n">
        <v>2015</v>
      </c>
      <c r="D382" s="6" t="n">
        <v>2071.198975</v>
      </c>
      <c r="E382" s="7" t="n">
        <v>53.78100586</v>
      </c>
      <c r="F382" s="7" t="n">
        <v>99.5</v>
      </c>
      <c r="G382" s="7" t="n">
        <v>0</v>
      </c>
      <c r="H382" s="7" t="n">
        <v>0.5</v>
      </c>
      <c r="I382" s="7" t="n">
        <v>0</v>
      </c>
      <c r="J382" s="7"/>
      <c r="K382" s="7"/>
      <c r="L382" s="7"/>
      <c r="M382" s="7"/>
      <c r="N382" s="7"/>
      <c r="O382" s="7"/>
      <c r="P382" s="7"/>
      <c r="Q382" s="7"/>
      <c r="R382" s="8" t="n">
        <f aca="false">IF($A382=$A383,$C383-$C382,"")</f>
        <v>5</v>
      </c>
      <c r="S382" s="9" t="n">
        <f aca="false">IF(AND($A382=$A383,ISNUMBER(F382),ISNUMBER(F383)),(F383-F382)/($C383-$C382),"")</f>
        <v>0</v>
      </c>
      <c r="T382" s="9" t="str">
        <f aca="false">IF(AND($A382=$A383,ISNUMBER(J382),ISNUMBER(J383)),(J383-J382)/($C383-$C382),"")</f>
        <v/>
      </c>
      <c r="U382" s="9" t="str">
        <f aca="false">IF(AND($A382=$A383,ISNUMBER(N382),ISNUMBER(N383)),(N383-N382)/($C383-$C382),"")</f>
        <v/>
      </c>
      <c r="V382" s="8" t="n">
        <f aca="false">IF(ISNUMBER(F382),ROUND(F382,0),"")</f>
        <v>100</v>
      </c>
      <c r="W382" s="8" t="str">
        <f aca="false">IF(ISNUMBER(J382),ROUND(J382,0),"")</f>
        <v/>
      </c>
      <c r="X382" s="8" t="str">
        <f aca="false">IF(ISNUMBER(N382),ROUND(N382,0),"")</f>
        <v/>
      </c>
      <c r="Y382" s="4" t="str">
        <f aca="false">IF(AND($A382=$A383,V382=100,V383=100),"full access","")</f>
        <v>full access</v>
      </c>
      <c r="Z382" s="4" t="str">
        <f aca="false">IF(AND($A382=$A383,W382=100,W383=100),"full access","")</f>
        <v/>
      </c>
      <c r="AA382" s="4" t="str">
        <f aca="false">IF(AND($A382=$A383,X382=100,X383=100),"full access","")</f>
        <v/>
      </c>
      <c r="AB382" s="9" t="str">
        <f aca="false">IF(AND(ISNUMBER(T382),ISNUMBER(U382)),T382-U382,"")</f>
        <v/>
      </c>
    </row>
    <row r="383" customFormat="false" ht="15" hidden="false" customHeight="false" outlineLevel="0" collapsed="false">
      <c r="A383" s="4" t="s">
        <v>273</v>
      </c>
      <c r="B383" s="4" t="str">
        <f aca="false">IFERROR(INDEX('Region Lookup'!$B$2:$B$233,MATCH(A383,'Region Lookup'!$A$2:$A$233,0)),"Not found")</f>
        <v>Europe &amp; Central Asia</v>
      </c>
      <c r="C383" s="4" t="n">
        <v>2020</v>
      </c>
      <c r="D383" s="6" t="n">
        <v>2078.931885</v>
      </c>
      <c r="E383" s="7" t="n">
        <v>55.11800385</v>
      </c>
      <c r="F383" s="7" t="n">
        <v>99.5</v>
      </c>
      <c r="G383" s="7" t="n">
        <v>0</v>
      </c>
      <c r="H383" s="7" t="n">
        <v>0.5</v>
      </c>
      <c r="I383" s="7" t="n">
        <v>0</v>
      </c>
      <c r="J383" s="7"/>
      <c r="K383" s="7"/>
      <c r="L383" s="7"/>
      <c r="M383" s="7"/>
      <c r="N383" s="7"/>
      <c r="O383" s="7"/>
      <c r="P383" s="7"/>
      <c r="Q383" s="7"/>
      <c r="R383" s="8" t="str">
        <f aca="false">IF($A383=$A384,$C384-$C383,"")</f>
        <v/>
      </c>
      <c r="S383" s="9" t="str">
        <f aca="false">IF(AND($A383=$A384,ISNUMBER(F383),ISNUMBER(F384)),(F384-F383)/($C384-$C383),"")</f>
        <v/>
      </c>
      <c r="T383" s="9" t="str">
        <f aca="false">IF(AND($A383=$A384,ISNUMBER(J383),ISNUMBER(J384)),(J384-J383)/($C384-$C383),"")</f>
        <v/>
      </c>
      <c r="U383" s="9" t="str">
        <f aca="false">IF(AND($A383=$A384,ISNUMBER(N383),ISNUMBER(N384)),(N384-N383)/($C384-$C383),"")</f>
        <v/>
      </c>
      <c r="V383" s="8" t="n">
        <f aca="false">IF(ISNUMBER(F383),ROUND(F383,0),"")</f>
        <v>100</v>
      </c>
      <c r="W383" s="8" t="str">
        <f aca="false">IF(ISNUMBER(J383),ROUND(J383,0),"")</f>
        <v/>
      </c>
      <c r="X383" s="8" t="str">
        <f aca="false">IF(ISNUMBER(N383),ROUND(N383,0),"")</f>
        <v/>
      </c>
      <c r="Y383" s="4" t="str">
        <f aca="false">IF(AND($A383=$A384,V383=100,V384=100),"full access","")</f>
        <v/>
      </c>
      <c r="Z383" s="4" t="str">
        <f aca="false">IF(AND($A383=$A384,W383=100,W384=100),"full access","")</f>
        <v/>
      </c>
      <c r="AA383" s="4" t="str">
        <f aca="false">IF(AND($A383=$A384,X383=100,X384=100),"full access","")</f>
        <v/>
      </c>
      <c r="AB383" s="9" t="str">
        <f aca="false">IF(AND(ISNUMBER(T383),ISNUMBER(U383)),T383-U383,"")</f>
        <v/>
      </c>
    </row>
    <row r="384" customFormat="false" ht="15" hidden="false" customHeight="false" outlineLevel="0" collapsed="false">
      <c r="A384" s="10" t="s">
        <v>274</v>
      </c>
      <c r="B384" s="10" t="str">
        <f aca="false">IFERROR(INDEX('Region Lookup'!$B$2:$B$233,MATCH(A384,'Region Lookup'!$A$2:$A$233,0)),"Not found")</f>
        <v>East Asia &amp; Pacific</v>
      </c>
      <c r="C384" s="10" t="n">
        <v>2015</v>
      </c>
      <c r="D384" s="11" t="n">
        <v>603.1329956</v>
      </c>
      <c r="E384" s="12" t="n">
        <v>22.3599987</v>
      </c>
      <c r="F384" s="12" t="n">
        <v>69.32991889</v>
      </c>
      <c r="G384" s="12" t="n">
        <v>5.705267634</v>
      </c>
      <c r="H384" s="12" t="n">
        <v>18.98898125</v>
      </c>
      <c r="I384" s="12" t="n">
        <v>5.975832221</v>
      </c>
      <c r="J384" s="12" t="n">
        <v>63.01213819</v>
      </c>
      <c r="K384" s="12" t="n">
        <v>6.338468203</v>
      </c>
      <c r="L384" s="12" t="n">
        <v>23.28459564</v>
      </c>
      <c r="M384" s="12" t="n">
        <v>7.364797966</v>
      </c>
      <c r="N384" s="12" t="n">
        <v>91.26697205</v>
      </c>
      <c r="O384" s="12" t="n">
        <v>3.506623017</v>
      </c>
      <c r="P384" s="12" t="n">
        <v>4.073439607</v>
      </c>
      <c r="Q384" s="12" t="n">
        <v>1.152965328</v>
      </c>
      <c r="R384" s="13" t="n">
        <f aca="false">IF($A384=$A385,$C385-$C384,"")</f>
        <v>5</v>
      </c>
      <c r="S384" s="14" t="n">
        <f aca="false">IF(AND($A384=$A385,ISNUMBER(F384),ISNUMBER(F385)),(F385-F384)/($C385-$C384),"")</f>
        <v>-0.405778670000001</v>
      </c>
      <c r="T384" s="14" t="n">
        <f aca="false">IF(AND($A384=$A385,ISNUMBER(J384),ISNUMBER(J385)),(J385-J384)/($C385-$C384),"")</f>
        <v>-0.72137414</v>
      </c>
      <c r="U384" s="14" t="n">
        <f aca="false">IF(AND($A384=$A385,ISNUMBER(N384),ISNUMBER(N385)),(N385-N384)/($C385-$C384),"")</f>
        <v>0.0287609679999974</v>
      </c>
      <c r="V384" s="13" t="n">
        <f aca="false">IF(ISNUMBER(F384),ROUND(F384,0),"")</f>
        <v>69</v>
      </c>
      <c r="W384" s="13" t="n">
        <f aca="false">IF(ISNUMBER(J384),ROUND(J384,0),"")</f>
        <v>63</v>
      </c>
      <c r="X384" s="13" t="n">
        <f aca="false">IF(ISNUMBER(N384),ROUND(N384,0),"")</f>
        <v>91</v>
      </c>
      <c r="Y384" s="10" t="str">
        <f aca="false">IF(AND($A384=$A385,V384=100,V385=100),"full access","")</f>
        <v/>
      </c>
      <c r="Z384" s="10" t="str">
        <f aca="false">IF(AND($A384=$A385,W384=100,W385=100),"full access","")</f>
        <v/>
      </c>
      <c r="AA384" s="10" t="str">
        <f aca="false">IF(AND($A384=$A385,X384=100,X385=100),"full access","")</f>
        <v/>
      </c>
      <c r="AB384" s="14" t="n">
        <f aca="false">IF(AND(ISNUMBER(T384),ISNUMBER(U384)),T384-U384,"")</f>
        <v>-0.750135107999998</v>
      </c>
    </row>
    <row r="385" customFormat="false" ht="15" hidden="false" customHeight="false" outlineLevel="0" collapsed="false">
      <c r="A385" s="10" t="s">
        <v>274</v>
      </c>
      <c r="B385" s="10" t="str">
        <f aca="false">IFERROR(INDEX('Region Lookup'!$B$2:$B$233,MATCH(A385,'Region Lookup'!$A$2:$A$233,0)),"Not found")</f>
        <v>East Asia &amp; Pacific</v>
      </c>
      <c r="C385" s="10" t="n">
        <v>2020</v>
      </c>
      <c r="D385" s="11" t="n">
        <v>686.8779907</v>
      </c>
      <c r="E385" s="12" t="n">
        <v>24.67000008</v>
      </c>
      <c r="F385" s="12" t="n">
        <v>67.30102554</v>
      </c>
      <c r="G385" s="12" t="n">
        <v>5.79547831</v>
      </c>
      <c r="H385" s="12" t="n">
        <v>21.26784313</v>
      </c>
      <c r="I385" s="12" t="n">
        <v>5.635653025</v>
      </c>
      <c r="J385" s="12" t="n">
        <v>59.40526749</v>
      </c>
      <c r="K385" s="12" t="n">
        <v>6.528523649</v>
      </c>
      <c r="L385" s="12" t="n">
        <v>26.955911</v>
      </c>
      <c r="M385" s="12" t="n">
        <v>7.110297857</v>
      </c>
      <c r="N385" s="12" t="n">
        <v>91.41077689</v>
      </c>
      <c r="O385" s="12" t="n">
        <v>3.557120425</v>
      </c>
      <c r="P385" s="12" t="n">
        <v>3.899286137</v>
      </c>
      <c r="Q385" s="12" t="n">
        <v>1.132816553</v>
      </c>
      <c r="R385" s="13" t="str">
        <f aca="false">IF($A385=$A386,$C386-$C385,"")</f>
        <v/>
      </c>
      <c r="S385" s="14" t="str">
        <f aca="false">IF(AND($A385=$A386,ISNUMBER(F385),ISNUMBER(F386)),(F386-F385)/($C386-$C385),"")</f>
        <v/>
      </c>
      <c r="T385" s="14" t="str">
        <f aca="false">IF(AND($A385=$A386,ISNUMBER(J385),ISNUMBER(J386)),(J386-J385)/($C386-$C385),"")</f>
        <v/>
      </c>
      <c r="U385" s="14" t="str">
        <f aca="false">IF(AND($A385=$A386,ISNUMBER(N385),ISNUMBER(N386)),(N386-N385)/($C386-$C385),"")</f>
        <v/>
      </c>
      <c r="V385" s="13" t="n">
        <f aca="false">IF(ISNUMBER(F385),ROUND(F385,0),"")</f>
        <v>67</v>
      </c>
      <c r="W385" s="13" t="n">
        <f aca="false">IF(ISNUMBER(J385),ROUND(J385,0),"")</f>
        <v>59</v>
      </c>
      <c r="X385" s="13" t="n">
        <f aca="false">IF(ISNUMBER(N385),ROUND(N385,0),"")</f>
        <v>91</v>
      </c>
      <c r="Y385" s="10" t="str">
        <f aca="false">IF(AND($A385=$A386,V385=100,V386=100),"full access","")</f>
        <v/>
      </c>
      <c r="Z385" s="10" t="str">
        <f aca="false">IF(AND($A385=$A386,W385=100,W386=100),"full access","")</f>
        <v/>
      </c>
      <c r="AA385" s="10" t="str">
        <f aca="false">IF(AND($A385=$A386,X385=100,X386=100),"full access","")</f>
        <v/>
      </c>
      <c r="AB385" s="14" t="str">
        <f aca="false">IF(AND(ISNUMBER(T385),ISNUMBER(U385)),T385-U385,"")</f>
        <v/>
      </c>
    </row>
    <row r="386" customFormat="false" ht="15" hidden="false" customHeight="false" outlineLevel="0" collapsed="false">
      <c r="A386" s="4" t="s">
        <v>275</v>
      </c>
      <c r="B386" s="4" t="str">
        <f aca="false">IFERROR(INDEX('Region Lookup'!$B$2:$B$233,MATCH(A386,'Region Lookup'!$A$2:$A$233,0)),"Not found")</f>
        <v>Sub-Saharan Africa</v>
      </c>
      <c r="C386" s="4" t="n">
        <v>2015</v>
      </c>
      <c r="D386" s="6" t="n">
        <v>13797.2041</v>
      </c>
      <c r="E386" s="7" t="n">
        <v>43.24500275</v>
      </c>
      <c r="F386" s="7" t="n">
        <v>48.71115368</v>
      </c>
      <c r="G386" s="7" t="n">
        <v>23.40618776</v>
      </c>
      <c r="H386" s="7" t="n">
        <v>20.15410676</v>
      </c>
      <c r="I386" s="7" t="n">
        <v>7.728551789</v>
      </c>
      <c r="J386" s="7" t="n">
        <v>29.2281926</v>
      </c>
      <c r="K386" s="7" t="n">
        <v>28.88714853</v>
      </c>
      <c r="L386" s="7" t="n">
        <v>28.97578886</v>
      </c>
      <c r="M386" s="7" t="n">
        <v>12.90887001</v>
      </c>
      <c r="N386" s="7" t="n">
        <v>74.28070864</v>
      </c>
      <c r="O386" s="7" t="n">
        <v>16.21294199</v>
      </c>
      <c r="P386" s="7" t="n">
        <v>8.576478283</v>
      </c>
      <c r="Q386" s="7" t="n">
        <v>0.9298710922</v>
      </c>
      <c r="R386" s="8" t="n">
        <f aca="false">IF($A386=$A387,$C387-$C386,"")</f>
        <v>5</v>
      </c>
      <c r="S386" s="9" t="n">
        <f aca="false">IF(AND($A386=$A387,ISNUMBER(F386),ISNUMBER(F387)),(F387-F386)/($C387-$C386),"")</f>
        <v>1.553163942</v>
      </c>
      <c r="T386" s="9" t="n">
        <f aca="false">IF(AND($A386=$A387,ISNUMBER(J386),ISNUMBER(J387)),(J387-J386)/($C387-$C386),"")</f>
        <v>1.569534044</v>
      </c>
      <c r="U386" s="9" t="n">
        <f aca="false">IF(AND($A386=$A387,ISNUMBER(N386),ISNUMBER(N387)),(N387-N386)/($C387-$C386),"")</f>
        <v>0.968519420000001</v>
      </c>
      <c r="V386" s="8" t="n">
        <f aca="false">IF(ISNUMBER(F386),ROUND(F386,0),"")</f>
        <v>49</v>
      </c>
      <c r="W386" s="8" t="n">
        <f aca="false">IF(ISNUMBER(J386),ROUND(J386,0),"")</f>
        <v>29</v>
      </c>
      <c r="X386" s="8" t="n">
        <f aca="false">IF(ISNUMBER(N386),ROUND(N386,0),"")</f>
        <v>74</v>
      </c>
      <c r="Y386" s="4" t="str">
        <f aca="false">IF(AND($A386=$A387,V386=100,V387=100),"full access","")</f>
        <v/>
      </c>
      <c r="Z386" s="4" t="str">
        <f aca="false">IF(AND($A386=$A387,W386=100,W387=100),"full access","")</f>
        <v/>
      </c>
      <c r="AA386" s="4" t="str">
        <f aca="false">IF(AND($A386=$A387,X386=100,X387=100),"full access","")</f>
        <v/>
      </c>
      <c r="AB386" s="9" t="n">
        <f aca="false">IF(AND(ISNUMBER(T386),ISNUMBER(U386)),T386-U386,"")</f>
        <v>0.601014623999998</v>
      </c>
    </row>
    <row r="387" customFormat="false" ht="15" hidden="false" customHeight="false" outlineLevel="0" collapsed="false">
      <c r="A387" s="4" t="s">
        <v>275</v>
      </c>
      <c r="B387" s="4" t="str">
        <f aca="false">IFERROR(INDEX('Region Lookup'!$B$2:$B$233,MATCH(A387,'Region Lookup'!$A$2:$A$233,0)),"Not found")</f>
        <v>Sub-Saharan Africa</v>
      </c>
      <c r="C387" s="4" t="n">
        <v>2020</v>
      </c>
      <c r="D387" s="6" t="n">
        <v>15893.21875</v>
      </c>
      <c r="E387" s="7" t="n">
        <v>46.14099884</v>
      </c>
      <c r="F387" s="7" t="n">
        <v>56.47697339</v>
      </c>
      <c r="G387" s="7" t="n">
        <v>27.70419956</v>
      </c>
      <c r="H387" s="7" t="n">
        <v>13.41704303</v>
      </c>
      <c r="I387" s="7" t="n">
        <v>2.401784021</v>
      </c>
      <c r="J387" s="7" t="n">
        <v>37.07586282</v>
      </c>
      <c r="K387" s="7" t="n">
        <v>36.64324958</v>
      </c>
      <c r="L387" s="7" t="n">
        <v>21.82149546</v>
      </c>
      <c r="M387" s="7" t="n">
        <v>4.459392143</v>
      </c>
      <c r="N387" s="7" t="n">
        <v>79.12330574</v>
      </c>
      <c r="O387" s="7" t="n">
        <v>17.26991556</v>
      </c>
      <c r="P387" s="7" t="n">
        <v>3.606778703</v>
      </c>
      <c r="Q387" s="7" t="n">
        <v>0</v>
      </c>
      <c r="R387" s="8" t="str">
        <f aca="false">IF($A387=$A388,$C388-$C387,"")</f>
        <v/>
      </c>
      <c r="S387" s="9" t="str">
        <f aca="false">IF(AND($A387=$A388,ISNUMBER(F387),ISNUMBER(F388)),(F388-F387)/($C388-$C387),"")</f>
        <v/>
      </c>
      <c r="T387" s="9" t="str">
        <f aca="false">IF(AND($A387=$A388,ISNUMBER(J387),ISNUMBER(J388)),(J388-J387)/($C388-$C387),"")</f>
        <v/>
      </c>
      <c r="U387" s="9" t="str">
        <f aca="false">IF(AND($A387=$A388,ISNUMBER(N387),ISNUMBER(N388)),(N388-N387)/($C388-$C387),"")</f>
        <v/>
      </c>
      <c r="V387" s="8" t="n">
        <f aca="false">IF(ISNUMBER(F387),ROUND(F387,0),"")</f>
        <v>56</v>
      </c>
      <c r="W387" s="8" t="n">
        <f aca="false">IF(ISNUMBER(J387),ROUND(J387,0),"")</f>
        <v>37</v>
      </c>
      <c r="X387" s="8" t="n">
        <f aca="false">IF(ISNUMBER(N387),ROUND(N387,0),"")</f>
        <v>79</v>
      </c>
      <c r="Y387" s="4" t="str">
        <f aca="false">IF(AND($A387=$A388,V387=100,V388=100),"full access","")</f>
        <v/>
      </c>
      <c r="Z387" s="4" t="str">
        <f aca="false">IF(AND($A387=$A388,W387=100,W388=100),"full access","")</f>
        <v/>
      </c>
      <c r="AA387" s="4" t="str">
        <f aca="false">IF(AND($A387=$A388,X387=100,X388=100),"full access","")</f>
        <v/>
      </c>
      <c r="AB387" s="9" t="str">
        <f aca="false">IF(AND(ISNUMBER(T387),ISNUMBER(U387)),T387-U387,"")</f>
        <v/>
      </c>
    </row>
    <row r="388" customFormat="false" ht="15" hidden="false" customHeight="false" outlineLevel="0" collapsed="false">
      <c r="A388" s="10" t="s">
        <v>276</v>
      </c>
      <c r="B388" s="10" t="str">
        <f aca="false">IFERROR(INDEX('Region Lookup'!$B$2:$B$233,MATCH(A388,'Region Lookup'!$A$2:$A$233,0)),"Not found")</f>
        <v>Sub-Saharan Africa</v>
      </c>
      <c r="C388" s="10" t="n">
        <v>2015</v>
      </c>
      <c r="D388" s="11" t="n">
        <v>55386.36719</v>
      </c>
      <c r="E388" s="12" t="n">
        <v>64.82800293</v>
      </c>
      <c r="F388" s="12" t="n">
        <v>91.87634387</v>
      </c>
      <c r="G388" s="12" t="n">
        <v>2.803155965</v>
      </c>
      <c r="H388" s="12" t="n">
        <v>2.078820804</v>
      </c>
      <c r="I388" s="12" t="n">
        <v>3.241679359</v>
      </c>
      <c r="J388" s="12" t="n">
        <v>79.03373853</v>
      </c>
      <c r="K388" s="12" t="n">
        <v>6.61766745</v>
      </c>
      <c r="L388" s="12" t="n">
        <v>5.131945818</v>
      </c>
      <c r="M388" s="12" t="n">
        <v>9.216648202</v>
      </c>
      <c r="N388" s="12" t="n">
        <v>98.84401345</v>
      </c>
      <c r="O388" s="12" t="n">
        <v>0.7336182863</v>
      </c>
      <c r="P388" s="12" t="n">
        <v>0.4223682597</v>
      </c>
      <c r="Q388" s="12" t="n">
        <v>0</v>
      </c>
      <c r="R388" s="13" t="n">
        <f aca="false">IF($A388=$A389,$C389-$C388,"")</f>
        <v>5</v>
      </c>
      <c r="S388" s="14" t="n">
        <f aca="false">IF(AND($A388=$A389,ISNUMBER(F388),ISNUMBER(F389)),(F389-F388)/($C389-$C388),"")</f>
        <v>0.401742714</v>
      </c>
      <c r="T388" s="14" t="n">
        <f aca="false">IF(AND($A388=$A389,ISNUMBER(J388),ISNUMBER(J389)),(J389-J388)/($C389-$C388),"")</f>
        <v>0.859148530000002</v>
      </c>
      <c r="U388" s="14" t="n">
        <f aca="false">IF(AND($A388=$A389,ISNUMBER(N388),ISNUMBER(N389)),(N389-N388)/($C389-$C388),"")</f>
        <v>0.0314502779999998</v>
      </c>
      <c r="V388" s="13" t="n">
        <f aca="false">IF(ISNUMBER(F388),ROUND(F388,0),"")</f>
        <v>92</v>
      </c>
      <c r="W388" s="13" t="n">
        <f aca="false">IF(ISNUMBER(J388),ROUND(J388,0),"")</f>
        <v>79</v>
      </c>
      <c r="X388" s="13" t="n">
        <f aca="false">IF(ISNUMBER(N388),ROUND(N388,0),"")</f>
        <v>99</v>
      </c>
      <c r="Y388" s="10" t="str">
        <f aca="false">IF(AND($A388=$A389,V388=100,V389=100),"full access","")</f>
        <v/>
      </c>
      <c r="Z388" s="10" t="str">
        <f aca="false">IF(AND($A388=$A389,W388=100,W389=100),"full access","")</f>
        <v/>
      </c>
      <c r="AA388" s="10" t="str">
        <f aca="false">IF(AND($A388=$A389,X388=100,X389=100),"full access","")</f>
        <v/>
      </c>
      <c r="AB388" s="14" t="n">
        <f aca="false">IF(AND(ISNUMBER(T388),ISNUMBER(U388)),T388-U388,"")</f>
        <v>0.827698252000002</v>
      </c>
    </row>
    <row r="389" customFormat="false" ht="15" hidden="false" customHeight="false" outlineLevel="0" collapsed="false">
      <c r="A389" s="10" t="s">
        <v>276</v>
      </c>
      <c r="B389" s="10" t="str">
        <f aca="false">IFERROR(INDEX('Region Lookup'!$B$2:$B$233,MATCH(A389,'Region Lookup'!$A$2:$A$233,0)),"Not found")</f>
        <v>Sub-Saharan Africa</v>
      </c>
      <c r="C389" s="10" t="n">
        <v>2020</v>
      </c>
      <c r="D389" s="11" t="n">
        <v>59308.69141</v>
      </c>
      <c r="E389" s="12" t="n">
        <v>67.35400391</v>
      </c>
      <c r="F389" s="12" t="n">
        <v>93.88505744</v>
      </c>
      <c r="G389" s="12" t="n">
        <v>2.772736186</v>
      </c>
      <c r="H389" s="12" t="n">
        <v>1.410816657</v>
      </c>
      <c r="I389" s="12" t="n">
        <v>1.931389712</v>
      </c>
      <c r="J389" s="12" t="n">
        <v>83.32948118</v>
      </c>
      <c r="K389" s="12" t="n">
        <v>6.977359359</v>
      </c>
      <c r="L389" s="12" t="n">
        <v>3.776999287</v>
      </c>
      <c r="M389" s="12" t="n">
        <v>5.916160173</v>
      </c>
      <c r="N389" s="12" t="n">
        <v>99.00126484</v>
      </c>
      <c r="O389" s="12" t="n">
        <v>0.734785403</v>
      </c>
      <c r="P389" s="12" t="n">
        <v>0.2639497547</v>
      </c>
      <c r="Q389" s="12" t="n">
        <v>0</v>
      </c>
      <c r="R389" s="13" t="str">
        <f aca="false">IF($A389=$A390,$C390-$C389,"")</f>
        <v/>
      </c>
      <c r="S389" s="14" t="str">
        <f aca="false">IF(AND($A389=$A390,ISNUMBER(F389),ISNUMBER(F390)),(F390-F389)/($C390-$C389),"")</f>
        <v/>
      </c>
      <c r="T389" s="14" t="str">
        <f aca="false">IF(AND($A389=$A390,ISNUMBER(J389),ISNUMBER(J390)),(J390-J389)/($C390-$C389),"")</f>
        <v/>
      </c>
      <c r="U389" s="14" t="str">
        <f aca="false">IF(AND($A389=$A390,ISNUMBER(N389),ISNUMBER(N390)),(N390-N389)/($C390-$C389),"")</f>
        <v/>
      </c>
      <c r="V389" s="13" t="n">
        <f aca="false">IF(ISNUMBER(F389),ROUND(F389,0),"")</f>
        <v>94</v>
      </c>
      <c r="W389" s="13" t="n">
        <f aca="false">IF(ISNUMBER(J389),ROUND(J389,0),"")</f>
        <v>83</v>
      </c>
      <c r="X389" s="13" t="n">
        <f aca="false">IF(ISNUMBER(N389),ROUND(N389,0),"")</f>
        <v>99</v>
      </c>
      <c r="Y389" s="10" t="str">
        <f aca="false">IF(AND($A389=$A390,V389=100,V390=100),"full access","")</f>
        <v/>
      </c>
      <c r="Z389" s="10" t="str">
        <f aca="false">IF(AND($A389=$A390,W389=100,W390=100),"full access","")</f>
        <v/>
      </c>
      <c r="AA389" s="10" t="str">
        <f aca="false">IF(AND($A389=$A390,X389=100,X390=100),"full access","")</f>
        <v/>
      </c>
      <c r="AB389" s="14" t="str">
        <f aca="false">IF(AND(ISNUMBER(T389),ISNUMBER(U389)),T389-U389,"")</f>
        <v/>
      </c>
    </row>
    <row r="390" customFormat="false" ht="15" hidden="false" customHeight="false" outlineLevel="0" collapsed="false">
      <c r="A390" s="4" t="s">
        <v>277</v>
      </c>
      <c r="B390" s="4" t="str">
        <f aca="false">IFERROR(INDEX('Region Lookup'!$B$2:$B$233,MATCH(A390,'Region Lookup'!$A$2:$A$233,0)),"Not found")</f>
        <v>Sub-Saharan Africa</v>
      </c>
      <c r="C390" s="4" t="n">
        <v>2015</v>
      </c>
      <c r="D390" s="6" t="n">
        <v>10715.65723</v>
      </c>
      <c r="E390" s="7" t="n">
        <v>18.85199928</v>
      </c>
      <c r="F390" s="7" t="n">
        <v>41.24750946</v>
      </c>
      <c r="G390" s="7" t="n">
        <v>30.69573713</v>
      </c>
      <c r="H390" s="7" t="n">
        <v>13.55439295</v>
      </c>
      <c r="I390" s="7" t="n">
        <v>14.50236045</v>
      </c>
      <c r="J390" s="7" t="n">
        <v>36.72677973</v>
      </c>
      <c r="K390" s="7" t="n">
        <v>32.66279967</v>
      </c>
      <c r="L390" s="7" t="n">
        <v>14.31006538</v>
      </c>
      <c r="M390" s="7" t="n">
        <v>16.30035522</v>
      </c>
      <c r="N390" s="7" t="n">
        <v>60.70687736</v>
      </c>
      <c r="O390" s="7" t="n">
        <v>22.22855395</v>
      </c>
      <c r="P390" s="7" t="n">
        <v>10.30163914</v>
      </c>
      <c r="Q390" s="7" t="n">
        <v>6.762929552</v>
      </c>
      <c r="R390" s="8" t="n">
        <f aca="false">IF($A390=$A391,$C391-$C390,"")</f>
        <v>5</v>
      </c>
      <c r="S390" s="9" t="n">
        <f aca="false">IF(AND($A390=$A391,ISNUMBER(F390),ISNUMBER(F391)),(F391-F390)/($C391-$C390),"")</f>
        <v>-0.0593164580000007</v>
      </c>
      <c r="T390" s="9" t="n">
        <f aca="false">IF(AND($A390=$A391,ISNUMBER(J390),ISNUMBER(J391)),(J391-J390)/($C391-$C390),"")</f>
        <v>-0.626630184</v>
      </c>
      <c r="U390" s="9" t="n">
        <f aca="false">IF(AND($A390=$A391,ISNUMBER(N390),ISNUMBER(N391)),(N391-N390)/($C391-$C390),"")</f>
        <v>1.862165418</v>
      </c>
      <c r="V390" s="8" t="n">
        <f aca="false">IF(ISNUMBER(F390),ROUND(F390,0),"")</f>
        <v>41</v>
      </c>
      <c r="W390" s="8" t="n">
        <f aca="false">IF(ISNUMBER(J390),ROUND(J390,0),"")</f>
        <v>37</v>
      </c>
      <c r="X390" s="8" t="n">
        <f aca="false">IF(ISNUMBER(N390),ROUND(N390,0),"")</f>
        <v>61</v>
      </c>
      <c r="Y390" s="4" t="str">
        <f aca="false">IF(AND($A390=$A391,V390=100,V391=100),"full access","")</f>
        <v/>
      </c>
      <c r="Z390" s="4" t="str">
        <f aca="false">IF(AND($A390=$A391,W390=100,W391=100),"full access","")</f>
        <v/>
      </c>
      <c r="AA390" s="4" t="str">
        <f aca="false">IF(AND($A390=$A391,X390=100,X391=100),"full access","")</f>
        <v/>
      </c>
      <c r="AB390" s="9" t="n">
        <f aca="false">IF(AND(ISNUMBER(T390),ISNUMBER(U390)),T390-U390,"")</f>
        <v>-2.488795602</v>
      </c>
    </row>
    <row r="391" customFormat="false" ht="15" hidden="false" customHeight="false" outlineLevel="0" collapsed="false">
      <c r="A391" s="4" t="s">
        <v>277</v>
      </c>
      <c r="B391" s="4" t="str">
        <f aca="false">IFERROR(INDEX('Region Lookup'!$B$2:$B$233,MATCH(A391,'Region Lookup'!$A$2:$A$233,0)),"Not found")</f>
        <v>Sub-Saharan Africa</v>
      </c>
      <c r="C391" s="4" t="n">
        <v>2020</v>
      </c>
      <c r="D391" s="6" t="n">
        <v>11193.72852</v>
      </c>
      <c r="E391" s="7" t="n">
        <v>20.1989994</v>
      </c>
      <c r="F391" s="7" t="n">
        <v>40.95092717</v>
      </c>
      <c r="G391" s="7" t="n">
        <v>37.42696287</v>
      </c>
      <c r="H391" s="7" t="n">
        <v>13.53755519</v>
      </c>
      <c r="I391" s="7" t="n">
        <v>8.084554762</v>
      </c>
      <c r="J391" s="7" t="n">
        <v>33.59362881</v>
      </c>
      <c r="K391" s="7" t="n">
        <v>42.16438068</v>
      </c>
      <c r="L391" s="7" t="n">
        <v>14.11109616</v>
      </c>
      <c r="M391" s="7" t="n">
        <v>10.13089435</v>
      </c>
      <c r="N391" s="7" t="n">
        <v>70.01770445</v>
      </c>
      <c r="O391" s="7" t="n">
        <v>18.71066092</v>
      </c>
      <c r="P391" s="7" t="n">
        <v>11.27163464</v>
      </c>
      <c r="Q391" s="7" t="n">
        <v>0</v>
      </c>
      <c r="R391" s="8" t="str">
        <f aca="false">IF($A391=$A392,$C392-$C391,"")</f>
        <v/>
      </c>
      <c r="S391" s="9" t="str">
        <f aca="false">IF(AND($A391=$A392,ISNUMBER(F391),ISNUMBER(F392)),(F392-F391)/($C392-$C391),"")</f>
        <v/>
      </c>
      <c r="T391" s="9" t="str">
        <f aca="false">IF(AND($A391=$A392,ISNUMBER(J391),ISNUMBER(J392)),(J392-J391)/($C392-$C391),"")</f>
        <v/>
      </c>
      <c r="U391" s="9" t="str">
        <f aca="false">IF(AND($A391=$A392,ISNUMBER(N391),ISNUMBER(N392)),(N392-N391)/($C392-$C391),"")</f>
        <v/>
      </c>
      <c r="V391" s="8" t="n">
        <f aca="false">IF(ISNUMBER(F391),ROUND(F391,0),"")</f>
        <v>41</v>
      </c>
      <c r="W391" s="8" t="n">
        <f aca="false">IF(ISNUMBER(J391),ROUND(J391,0),"")</f>
        <v>34</v>
      </c>
      <c r="X391" s="8" t="n">
        <f aca="false">IF(ISNUMBER(N391),ROUND(N391,0),"")</f>
        <v>70</v>
      </c>
      <c r="Y391" s="4" t="str">
        <f aca="false">IF(AND($A391=$A392,V391=100,V392=100),"full access","")</f>
        <v/>
      </c>
      <c r="Z391" s="4" t="str">
        <f aca="false">IF(AND($A391=$A392,W391=100,W392=100),"full access","")</f>
        <v/>
      </c>
      <c r="AA391" s="4" t="str">
        <f aca="false">IF(AND($A391=$A392,X391=100,X392=100),"full access","")</f>
        <v/>
      </c>
      <c r="AB391" s="9" t="str">
        <f aca="false">IF(AND(ISNUMBER(T391),ISNUMBER(U391)),T391-U391,"")</f>
        <v/>
      </c>
    </row>
    <row r="392" customFormat="false" ht="15" hidden="false" customHeight="false" outlineLevel="0" collapsed="false">
      <c r="A392" s="10" t="s">
        <v>278</v>
      </c>
      <c r="B392" s="10" t="str">
        <f aca="false">IFERROR(INDEX('Region Lookup'!$B$2:$B$233,MATCH(A392,'Region Lookup'!$A$2:$A$233,0)),"Not found")</f>
        <v>Europe &amp; Central Asia</v>
      </c>
      <c r="C392" s="10" t="n">
        <v>2015</v>
      </c>
      <c r="D392" s="11" t="n">
        <v>46671.91797</v>
      </c>
      <c r="E392" s="12" t="n">
        <v>79.60199738</v>
      </c>
      <c r="F392" s="12" t="n">
        <v>99.92672046</v>
      </c>
      <c r="G392" s="12" t="n">
        <v>0</v>
      </c>
      <c r="H392" s="12" t="n">
        <v>0.07327954441</v>
      </c>
      <c r="I392" s="12" t="n">
        <v>0</v>
      </c>
      <c r="J392" s="12" t="n">
        <v>100</v>
      </c>
      <c r="K392" s="12" t="n">
        <v>0</v>
      </c>
      <c r="L392" s="12" t="n">
        <v>0</v>
      </c>
      <c r="M392" s="12" t="n">
        <v>0</v>
      </c>
      <c r="N392" s="12" t="n">
        <v>99.90794521</v>
      </c>
      <c r="O392" s="12" t="n">
        <v>0</v>
      </c>
      <c r="P392" s="12" t="n">
        <v>0.09205479452</v>
      </c>
      <c r="Q392" s="12" t="n">
        <v>0</v>
      </c>
      <c r="R392" s="13" t="n">
        <f aca="false">IF($A392=$A393,$C393-$C392,"")</f>
        <v>5</v>
      </c>
      <c r="S392" s="14" t="n">
        <f aca="false">IF(AND($A392=$A393,ISNUMBER(F392),ISNUMBER(F393)),(F393-F392)/($C393-$C392),"")</f>
        <v>-0.00022156999999936</v>
      </c>
      <c r="T392" s="14" t="n">
        <f aca="false">IF(AND($A392=$A393,ISNUMBER(J392),ISNUMBER(J393)),(J393-J392)/($C393-$C392),"")</f>
        <v>0</v>
      </c>
      <c r="U392" s="14" t="n">
        <f aca="false">IF(AND($A392=$A393,ISNUMBER(N392),ISNUMBER(N393)),(N393-N392)/($C393-$C392),"")</f>
        <v>0</v>
      </c>
      <c r="V392" s="13" t="n">
        <f aca="false">IF(ISNUMBER(F392),ROUND(F392,0),"")</f>
        <v>100</v>
      </c>
      <c r="W392" s="13" t="n">
        <f aca="false">IF(ISNUMBER(J392),ROUND(J392,0),"")</f>
        <v>100</v>
      </c>
      <c r="X392" s="13" t="n">
        <f aca="false">IF(ISNUMBER(N392),ROUND(N392,0),"")</f>
        <v>100</v>
      </c>
      <c r="Y392" s="10" t="str">
        <f aca="false">IF(AND($A392=$A393,V392=100,V393=100),"full access","")</f>
        <v>full access</v>
      </c>
      <c r="Z392" s="10" t="str">
        <f aca="false">IF(AND($A392=$A393,W392=100,W393=100),"full access","")</f>
        <v>full access</v>
      </c>
      <c r="AA392" s="10" t="str">
        <f aca="false">IF(AND($A392=$A393,X392=100,X393=100),"full access","")</f>
        <v>full access</v>
      </c>
      <c r="AB392" s="14" t="n">
        <f aca="false">IF(AND(ISNUMBER(T392),ISNUMBER(U392)),T392-U392,"")</f>
        <v>0</v>
      </c>
    </row>
    <row r="393" customFormat="false" ht="15" hidden="false" customHeight="false" outlineLevel="0" collapsed="false">
      <c r="A393" s="10" t="s">
        <v>278</v>
      </c>
      <c r="B393" s="10" t="str">
        <f aca="false">IFERROR(INDEX('Region Lookup'!$B$2:$B$233,MATCH(A393,'Region Lookup'!$A$2:$A$233,0)),"Not found")</f>
        <v>Europe &amp; Central Asia</v>
      </c>
      <c r="C393" s="10" t="n">
        <v>2020</v>
      </c>
      <c r="D393" s="11" t="n">
        <v>46754.78125</v>
      </c>
      <c r="E393" s="12" t="n">
        <v>80.80999756</v>
      </c>
      <c r="F393" s="12" t="n">
        <v>99.92561261</v>
      </c>
      <c r="G393" s="12" t="n">
        <v>0</v>
      </c>
      <c r="H393" s="12" t="n">
        <v>0.07438739142</v>
      </c>
      <c r="I393" s="12" t="n">
        <v>0</v>
      </c>
      <c r="J393" s="12" t="n">
        <v>100</v>
      </c>
      <c r="K393" s="12" t="n">
        <v>0</v>
      </c>
      <c r="L393" s="12" t="n">
        <v>0</v>
      </c>
      <c r="M393" s="12" t="n">
        <v>0</v>
      </c>
      <c r="N393" s="12" t="n">
        <v>99.90794521</v>
      </c>
      <c r="O393" s="12" t="n">
        <v>0</v>
      </c>
      <c r="P393" s="12" t="n">
        <v>0.09205479452</v>
      </c>
      <c r="Q393" s="12" t="n">
        <v>0</v>
      </c>
      <c r="R393" s="13" t="str">
        <f aca="false">IF($A393=$A394,$C394-$C393,"")</f>
        <v/>
      </c>
      <c r="S393" s="14" t="str">
        <f aca="false">IF(AND($A393=$A394,ISNUMBER(F393),ISNUMBER(F394)),(F394-F393)/($C394-$C393),"")</f>
        <v/>
      </c>
      <c r="T393" s="14" t="str">
        <f aca="false">IF(AND($A393=$A394,ISNUMBER(J393),ISNUMBER(J394)),(J394-J393)/($C394-$C393),"")</f>
        <v/>
      </c>
      <c r="U393" s="14" t="str">
        <f aca="false">IF(AND($A393=$A394,ISNUMBER(N393),ISNUMBER(N394)),(N394-N393)/($C394-$C393),"")</f>
        <v/>
      </c>
      <c r="V393" s="13" t="n">
        <f aca="false">IF(ISNUMBER(F393),ROUND(F393,0),"")</f>
        <v>100</v>
      </c>
      <c r="W393" s="13" t="n">
        <f aca="false">IF(ISNUMBER(J393),ROUND(J393,0),"")</f>
        <v>100</v>
      </c>
      <c r="X393" s="13" t="n">
        <f aca="false">IF(ISNUMBER(N393),ROUND(N393,0),"")</f>
        <v>100</v>
      </c>
      <c r="Y393" s="10" t="str">
        <f aca="false">IF(AND($A393=$A394,V393=100,V394=100),"full access","")</f>
        <v/>
      </c>
      <c r="Z393" s="10" t="str">
        <f aca="false">IF(AND($A393=$A394,W393=100,W394=100),"full access","")</f>
        <v/>
      </c>
      <c r="AA393" s="10" t="str">
        <f aca="false">IF(AND($A393=$A394,X393=100,X394=100),"full access","")</f>
        <v/>
      </c>
      <c r="AB393" s="14" t="str">
        <f aca="false">IF(AND(ISNUMBER(T393),ISNUMBER(U393)),T393-U393,"")</f>
        <v/>
      </c>
    </row>
    <row r="394" customFormat="false" ht="15" hidden="false" customHeight="false" outlineLevel="0" collapsed="false">
      <c r="A394" s="4" t="s">
        <v>279</v>
      </c>
      <c r="B394" s="4" t="str">
        <f aca="false">IFERROR(INDEX('Region Lookup'!$B$2:$B$233,MATCH(A394,'Region Lookup'!$A$2:$A$233,0)),"Not found")</f>
        <v>South Asia</v>
      </c>
      <c r="C394" s="4" t="n">
        <v>2015</v>
      </c>
      <c r="D394" s="6" t="n">
        <v>20908.02344</v>
      </c>
      <c r="E394" s="7" t="n">
        <v>18.25600052</v>
      </c>
      <c r="F394" s="7" t="n">
        <v>90.11102857</v>
      </c>
      <c r="G394" s="7" t="n">
        <v>0.9128012935</v>
      </c>
      <c r="H394" s="7" t="n">
        <v>6.761522893</v>
      </c>
      <c r="I394" s="7" t="n">
        <v>2.214647247</v>
      </c>
      <c r="J394" s="7" t="n">
        <v>88.25710614</v>
      </c>
      <c r="K394" s="7" t="n">
        <v>1.016290258</v>
      </c>
      <c r="L394" s="7" t="n">
        <v>8.017356135</v>
      </c>
      <c r="M394" s="7" t="n">
        <v>2.709247463</v>
      </c>
      <c r="N394" s="7" t="n">
        <v>98.41224652</v>
      </c>
      <c r="O394" s="7" t="n">
        <v>0.4494138094</v>
      </c>
      <c r="P394" s="7" t="n">
        <v>1.138339672</v>
      </c>
      <c r="Q394" s="7" t="n">
        <v>0</v>
      </c>
      <c r="R394" s="8" t="n">
        <f aca="false">IF($A394=$A395,$C395-$C394,"")</f>
        <v>5</v>
      </c>
      <c r="S394" s="9" t="n">
        <f aca="false">IF(AND($A394=$A395,ISNUMBER(F394),ISNUMBER(F395)),(F395-F394)/($C395-$C394),"")</f>
        <v>0.42331016</v>
      </c>
      <c r="T394" s="9" t="n">
        <f aca="false">IF(AND($A394=$A395,ISNUMBER(J394),ISNUMBER(J395)),(J395-J394)/($C395-$C394),"")</f>
        <v>0.456065912</v>
      </c>
      <c r="U394" s="9" t="n">
        <f aca="false">IF(AND($A394=$A395,ISNUMBER(N394),ISNUMBER(N395)),(N395-N394)/($C395-$C394),"")</f>
        <v>0.231426734000002</v>
      </c>
      <c r="V394" s="8" t="n">
        <f aca="false">IF(ISNUMBER(F394),ROUND(F394,0),"")</f>
        <v>90</v>
      </c>
      <c r="W394" s="8" t="n">
        <f aca="false">IF(ISNUMBER(J394),ROUND(J394,0),"")</f>
        <v>88</v>
      </c>
      <c r="X394" s="8" t="n">
        <f aca="false">IF(ISNUMBER(N394),ROUND(N394,0),"")</f>
        <v>98</v>
      </c>
      <c r="Y394" s="4" t="str">
        <f aca="false">IF(AND($A394=$A395,V394=100,V395=100),"full access","")</f>
        <v/>
      </c>
      <c r="Z394" s="4" t="str">
        <f aca="false">IF(AND($A394=$A395,W394=100,W395=100),"full access","")</f>
        <v/>
      </c>
      <c r="AA394" s="4" t="str">
        <f aca="false">IF(AND($A394=$A395,X394=100,X395=100),"full access","")</f>
        <v/>
      </c>
      <c r="AB394" s="9" t="n">
        <f aca="false">IF(AND(ISNUMBER(T394),ISNUMBER(U394)),T394-U394,"")</f>
        <v>0.224639177999998</v>
      </c>
    </row>
    <row r="395" customFormat="false" ht="15" hidden="false" customHeight="false" outlineLevel="0" collapsed="false">
      <c r="A395" s="4" t="s">
        <v>279</v>
      </c>
      <c r="B395" s="4" t="str">
        <f aca="false">IFERROR(INDEX('Region Lookup'!$B$2:$B$233,MATCH(A395,'Region Lookup'!$A$2:$A$233,0)),"Not found")</f>
        <v>South Asia</v>
      </c>
      <c r="C395" s="4" t="n">
        <v>2020</v>
      </c>
      <c r="D395" s="6" t="n">
        <v>21413.25</v>
      </c>
      <c r="E395" s="7" t="n">
        <v>18.71299934</v>
      </c>
      <c r="F395" s="7" t="n">
        <v>92.22757937</v>
      </c>
      <c r="G395" s="7" t="n">
        <v>0.5954581495</v>
      </c>
      <c r="H395" s="7" t="n">
        <v>5.348927064</v>
      </c>
      <c r="I395" s="7" t="n">
        <v>1.82803542</v>
      </c>
      <c r="J395" s="7" t="n">
        <v>90.5374357</v>
      </c>
      <c r="K395" s="7" t="n">
        <v>0.7032099038</v>
      </c>
      <c r="L395" s="7" t="n">
        <v>6.510488612</v>
      </c>
      <c r="M395" s="7" t="n">
        <v>2.248865782</v>
      </c>
      <c r="N395" s="7" t="n">
        <v>99.56938019</v>
      </c>
      <c r="O395" s="7" t="n">
        <v>0.1273977901</v>
      </c>
      <c r="P395" s="7" t="n">
        <v>0.3032220202</v>
      </c>
      <c r="Q395" s="7" t="n">
        <v>0</v>
      </c>
      <c r="R395" s="8" t="str">
        <f aca="false">IF($A395=$A396,$C396-$C395,"")</f>
        <v/>
      </c>
      <c r="S395" s="9" t="str">
        <f aca="false">IF(AND($A395=$A396,ISNUMBER(F395),ISNUMBER(F396)),(F396-F395)/($C396-$C395),"")</f>
        <v/>
      </c>
      <c r="T395" s="9" t="str">
        <f aca="false">IF(AND($A395=$A396,ISNUMBER(J395),ISNUMBER(J396)),(J396-J395)/($C396-$C395),"")</f>
        <v/>
      </c>
      <c r="U395" s="9" t="str">
        <f aca="false">IF(AND($A395=$A396,ISNUMBER(N395),ISNUMBER(N396)),(N396-N395)/($C396-$C395),"")</f>
        <v/>
      </c>
      <c r="V395" s="8" t="n">
        <f aca="false">IF(ISNUMBER(F395),ROUND(F395,0),"")</f>
        <v>92</v>
      </c>
      <c r="W395" s="8" t="n">
        <f aca="false">IF(ISNUMBER(J395),ROUND(J395,0),"")</f>
        <v>91</v>
      </c>
      <c r="X395" s="8" t="n">
        <f aca="false">IF(ISNUMBER(N395),ROUND(N395,0),"")</f>
        <v>100</v>
      </c>
      <c r="Y395" s="4" t="str">
        <f aca="false">IF(AND($A395=$A396,V395=100,V396=100),"full access","")</f>
        <v/>
      </c>
      <c r="Z395" s="4" t="str">
        <f aca="false">IF(AND($A395=$A396,W395=100,W396=100),"full access","")</f>
        <v/>
      </c>
      <c r="AA395" s="4" t="str">
        <f aca="false">IF(AND($A395=$A396,X395=100,X396=100),"full access","")</f>
        <v/>
      </c>
      <c r="AB395" s="9" t="str">
        <f aca="false">IF(AND(ISNUMBER(T395),ISNUMBER(U395)),T395-U395,"")</f>
        <v/>
      </c>
    </row>
    <row r="396" customFormat="false" ht="15" hidden="false" customHeight="false" outlineLevel="0" collapsed="false">
      <c r="A396" s="10" t="s">
        <v>280</v>
      </c>
      <c r="B396" s="10" t="str">
        <f aca="false">IFERROR(INDEX('Region Lookup'!$B$2:$B$233,MATCH(A396,'Region Lookup'!$A$2:$A$233,0)),"Not found")</f>
        <v>Middle East &amp; North Africa</v>
      </c>
      <c r="C396" s="10" t="n">
        <v>2015</v>
      </c>
      <c r="D396" s="11" t="n">
        <v>38902.94922</v>
      </c>
      <c r="E396" s="12" t="n">
        <v>33.89400101</v>
      </c>
      <c r="F396" s="12" t="n">
        <v>58.95025332</v>
      </c>
      <c r="G396" s="12" t="n">
        <v>26.11181598</v>
      </c>
      <c r="H396" s="12" t="n">
        <v>5.635847128</v>
      </c>
      <c r="I396" s="12" t="n">
        <v>9.302083569</v>
      </c>
      <c r="J396" s="12" t="n">
        <v>51.70743773</v>
      </c>
      <c r="K396" s="12" t="n">
        <v>26.68778964</v>
      </c>
      <c r="L396" s="12" t="n">
        <v>8.122567512</v>
      </c>
      <c r="M396" s="12" t="n">
        <v>13.48220513</v>
      </c>
      <c r="N396" s="12" t="n">
        <v>73.07645757</v>
      </c>
      <c r="O396" s="12" t="n">
        <v>24.98845154</v>
      </c>
      <c r="P396" s="12" t="n">
        <v>0.7858106217</v>
      </c>
      <c r="Q396" s="12" t="n">
        <v>1.14928027</v>
      </c>
      <c r="R396" s="13" t="n">
        <f aca="false">IF($A396=$A397,$C397-$C396,"")</f>
        <v>5</v>
      </c>
      <c r="S396" s="14" t="n">
        <f aca="false">IF(AND($A396=$A397,ISNUMBER(F396),ISNUMBER(F397)),(F397-F396)/($C397-$C396),"")</f>
        <v>0.299684456</v>
      </c>
      <c r="T396" s="14" t="n">
        <f aca="false">IF(AND($A396=$A397,ISNUMBER(J396),ISNUMBER(J397)),(J397-J396)/($C397-$C396),"")</f>
        <v>0.298317868</v>
      </c>
      <c r="U396" s="14" t="n">
        <f aca="false">IF(AND($A396=$A397,ISNUMBER(N396),ISNUMBER(N397)),(N397-N396)/($C397-$C396),"")</f>
        <v>0.137440397999998</v>
      </c>
      <c r="V396" s="13" t="n">
        <f aca="false">IF(ISNUMBER(F396),ROUND(F396,0),"")</f>
        <v>59</v>
      </c>
      <c r="W396" s="13" t="n">
        <f aca="false">IF(ISNUMBER(J396),ROUND(J396,0),"")</f>
        <v>52</v>
      </c>
      <c r="X396" s="13" t="n">
        <f aca="false">IF(ISNUMBER(N396),ROUND(N396,0),"")</f>
        <v>73</v>
      </c>
      <c r="Y396" s="10" t="str">
        <f aca="false">IF(AND($A396=$A397,V396=100,V397=100),"full access","")</f>
        <v/>
      </c>
      <c r="Z396" s="10" t="str">
        <f aca="false">IF(AND($A396=$A397,W396=100,W397=100),"full access","")</f>
        <v/>
      </c>
      <c r="AA396" s="10" t="str">
        <f aca="false">IF(AND($A396=$A397,X396=100,X397=100),"full access","")</f>
        <v/>
      </c>
      <c r="AB396" s="14" t="n">
        <f aca="false">IF(AND(ISNUMBER(T396),ISNUMBER(U396)),T396-U396,"")</f>
        <v>0.160877470000001</v>
      </c>
    </row>
    <row r="397" customFormat="false" ht="15" hidden="false" customHeight="false" outlineLevel="0" collapsed="false">
      <c r="A397" s="10" t="s">
        <v>280</v>
      </c>
      <c r="B397" s="10" t="str">
        <f aca="false">IFERROR(INDEX('Region Lookup'!$B$2:$B$233,MATCH(A397,'Region Lookup'!$A$2:$A$233,0)),"Not found")</f>
        <v>Middle East &amp; North Africa</v>
      </c>
      <c r="C397" s="10" t="n">
        <v>2020</v>
      </c>
      <c r="D397" s="11" t="n">
        <v>43849.26953</v>
      </c>
      <c r="E397" s="12" t="n">
        <v>35.25299835</v>
      </c>
      <c r="F397" s="12" t="n">
        <v>60.4486756</v>
      </c>
      <c r="G397" s="12" t="n">
        <v>26.67001975</v>
      </c>
      <c r="H397" s="12" t="n">
        <v>3.650217875</v>
      </c>
      <c r="I397" s="12" t="n">
        <v>9.231086774</v>
      </c>
      <c r="J397" s="12" t="n">
        <v>53.19902707</v>
      </c>
      <c r="K397" s="12" t="n">
        <v>27.45764451</v>
      </c>
      <c r="L397" s="12" t="n">
        <v>5.637660008</v>
      </c>
      <c r="M397" s="12" t="n">
        <v>13.70566842</v>
      </c>
      <c r="N397" s="12" t="n">
        <v>73.76365956</v>
      </c>
      <c r="O397" s="12" t="n">
        <v>25.22343986</v>
      </c>
      <c r="P397" s="12" t="n">
        <v>0</v>
      </c>
      <c r="Q397" s="12" t="n">
        <v>1.012900581</v>
      </c>
      <c r="R397" s="13" t="str">
        <f aca="false">IF($A397=$A398,$C398-$C397,"")</f>
        <v/>
      </c>
      <c r="S397" s="14" t="str">
        <f aca="false">IF(AND($A397=$A398,ISNUMBER(F397),ISNUMBER(F398)),(F398-F397)/($C398-$C397),"")</f>
        <v/>
      </c>
      <c r="T397" s="14" t="str">
        <f aca="false">IF(AND($A397=$A398,ISNUMBER(J397),ISNUMBER(J398)),(J398-J397)/($C398-$C397),"")</f>
        <v/>
      </c>
      <c r="U397" s="14" t="str">
        <f aca="false">IF(AND($A397=$A398,ISNUMBER(N397),ISNUMBER(N398)),(N398-N397)/($C398-$C397),"")</f>
        <v/>
      </c>
      <c r="V397" s="13" t="n">
        <f aca="false">IF(ISNUMBER(F397),ROUND(F397,0),"")</f>
        <v>60</v>
      </c>
      <c r="W397" s="13" t="n">
        <f aca="false">IF(ISNUMBER(J397),ROUND(J397,0),"")</f>
        <v>53</v>
      </c>
      <c r="X397" s="13" t="n">
        <f aca="false">IF(ISNUMBER(N397),ROUND(N397,0),"")</f>
        <v>74</v>
      </c>
      <c r="Y397" s="10" t="str">
        <f aca="false">IF(AND($A397=$A398,V397=100,V398=100),"full access","")</f>
        <v/>
      </c>
      <c r="Z397" s="10" t="str">
        <f aca="false">IF(AND($A397=$A398,W397=100,W398=100),"full access","")</f>
        <v/>
      </c>
      <c r="AA397" s="10" t="str">
        <f aca="false">IF(AND($A397=$A398,X397=100,X398=100),"full access","")</f>
        <v/>
      </c>
      <c r="AB397" s="14" t="str">
        <f aca="false">IF(AND(ISNUMBER(T397),ISNUMBER(U397)),T397-U397,"")</f>
        <v/>
      </c>
    </row>
    <row r="398" customFormat="false" ht="15" hidden="false" customHeight="false" outlineLevel="0" collapsed="false">
      <c r="A398" s="4" t="s">
        <v>281</v>
      </c>
      <c r="B398" s="4" t="str">
        <f aca="false">IFERROR(INDEX('Region Lookup'!$B$2:$B$233,MATCH(A398,'Region Lookup'!$A$2:$A$233,0)),"Not found")</f>
        <v>Latin America &amp; Caribbean</v>
      </c>
      <c r="C398" s="4" t="n">
        <v>2015</v>
      </c>
      <c r="D398" s="6" t="n">
        <v>559.1359863</v>
      </c>
      <c r="E398" s="7" t="n">
        <v>66.05599976</v>
      </c>
      <c r="F398" s="7" t="n">
        <v>95.74769217</v>
      </c>
      <c r="G398" s="7" t="n">
        <v>0.8828013983</v>
      </c>
      <c r="H398" s="7" t="n">
        <v>1.013834976</v>
      </c>
      <c r="I398" s="7" t="n">
        <v>2.35567146</v>
      </c>
      <c r="J398" s="7" t="n">
        <v>90.57961632</v>
      </c>
      <c r="K398" s="7" t="n">
        <v>1.285032142</v>
      </c>
      <c r="L398" s="7" t="n">
        <v>1.200506574</v>
      </c>
      <c r="M398" s="7" t="n">
        <v>6.934844965</v>
      </c>
      <c r="N398" s="7" t="n">
        <v>98.4033997</v>
      </c>
      <c r="O398" s="7" t="n">
        <v>0.6761083333</v>
      </c>
      <c r="P398" s="7" t="n">
        <v>0.9179065142</v>
      </c>
      <c r="Q398" s="7" t="n">
        <v>0.002585454545</v>
      </c>
      <c r="R398" s="8" t="n">
        <f aca="false">IF($A398=$A399,$C399-$C398,"")</f>
        <v>5</v>
      </c>
      <c r="S398" s="9" t="n">
        <f aca="false">IF(AND($A398=$A399,ISNUMBER(F398),ISNUMBER(F399)),(F399-F398)/($C399-$C398),"")</f>
        <v>0.4483879</v>
      </c>
      <c r="T398" s="9" t="n">
        <f aca="false">IF(AND($A398=$A399,ISNUMBER(J398),ISNUMBER(J399)),(J399-J398)/($C399-$C398),"")</f>
        <v>1.198959262</v>
      </c>
      <c r="U398" s="9" t="n">
        <f aca="false">IF(AND($A398=$A399,ISNUMBER(N398),ISNUMBER(N399)),(N399-N398)/($C399-$C398),"")</f>
        <v>0.062090834</v>
      </c>
      <c r="V398" s="8" t="n">
        <f aca="false">IF(ISNUMBER(F398),ROUND(F398,0),"")</f>
        <v>96</v>
      </c>
      <c r="W398" s="8" t="n">
        <f aca="false">IF(ISNUMBER(J398),ROUND(J398,0),"")</f>
        <v>91</v>
      </c>
      <c r="X398" s="8" t="n">
        <f aca="false">IF(ISNUMBER(N398),ROUND(N398,0),"")</f>
        <v>98</v>
      </c>
      <c r="Y398" s="4" t="str">
        <f aca="false">IF(AND($A398=$A399,V398=100,V399=100),"full access","")</f>
        <v/>
      </c>
      <c r="Z398" s="4" t="str">
        <f aca="false">IF(AND($A398=$A399,W398=100,W399=100),"full access","")</f>
        <v/>
      </c>
      <c r="AA398" s="4" t="str">
        <f aca="false">IF(AND($A398=$A399,X398=100,X399=100),"full access","")</f>
        <v/>
      </c>
      <c r="AB398" s="9" t="n">
        <f aca="false">IF(AND(ISNUMBER(T398),ISNUMBER(U398)),T398-U398,"")</f>
        <v>1.136868428</v>
      </c>
    </row>
    <row r="399" customFormat="false" ht="15" hidden="false" customHeight="false" outlineLevel="0" collapsed="false">
      <c r="A399" s="4" t="s">
        <v>281</v>
      </c>
      <c r="B399" s="4" t="str">
        <f aca="false">IFERROR(INDEX('Region Lookup'!$B$2:$B$233,MATCH(A399,'Region Lookup'!$A$2:$A$233,0)),"Not found")</f>
        <v>Latin America &amp; Caribbean</v>
      </c>
      <c r="C399" s="4" t="n">
        <v>2020</v>
      </c>
      <c r="D399" s="6" t="n">
        <v>586.6339722</v>
      </c>
      <c r="E399" s="7" t="n">
        <v>66.14900208</v>
      </c>
      <c r="F399" s="7" t="n">
        <v>97.98963167</v>
      </c>
      <c r="G399" s="7" t="n">
        <v>1.067246941</v>
      </c>
      <c r="H399" s="7" t="n">
        <v>0.3793365073</v>
      </c>
      <c r="I399" s="7" t="n">
        <v>0.563784884</v>
      </c>
      <c r="J399" s="7" t="n">
        <v>96.57441263</v>
      </c>
      <c r="K399" s="7" t="n">
        <v>1.60029586</v>
      </c>
      <c r="L399" s="7" t="n">
        <v>0.1598017947</v>
      </c>
      <c r="M399" s="7" t="n">
        <v>1.66548972</v>
      </c>
      <c r="N399" s="7" t="n">
        <v>98.71385387</v>
      </c>
      <c r="O399" s="7" t="n">
        <v>0.7944652371</v>
      </c>
      <c r="P399" s="7" t="n">
        <v>0.4916808925</v>
      </c>
      <c r="Q399" s="7" t="n">
        <v>0</v>
      </c>
      <c r="R399" s="8" t="str">
        <f aca="false">IF($A399=$A400,$C400-$C399,"")</f>
        <v/>
      </c>
      <c r="S399" s="9" t="str">
        <f aca="false">IF(AND($A399=$A400,ISNUMBER(F399),ISNUMBER(F400)),(F400-F399)/($C400-$C399),"")</f>
        <v/>
      </c>
      <c r="T399" s="9" t="str">
        <f aca="false">IF(AND($A399=$A400,ISNUMBER(J399),ISNUMBER(J400)),(J400-J399)/($C400-$C399),"")</f>
        <v/>
      </c>
      <c r="U399" s="9" t="str">
        <f aca="false">IF(AND($A399=$A400,ISNUMBER(N399),ISNUMBER(N400)),(N400-N399)/($C400-$C399),"")</f>
        <v/>
      </c>
      <c r="V399" s="8" t="n">
        <f aca="false">IF(ISNUMBER(F399),ROUND(F399,0),"")</f>
        <v>98</v>
      </c>
      <c r="W399" s="8" t="n">
        <f aca="false">IF(ISNUMBER(J399),ROUND(J399,0),"")</f>
        <v>97</v>
      </c>
      <c r="X399" s="8" t="n">
        <f aca="false">IF(ISNUMBER(N399),ROUND(N399,0),"")</f>
        <v>99</v>
      </c>
      <c r="Y399" s="4" t="str">
        <f aca="false">IF(AND($A399=$A400,V399=100,V400=100),"full access","")</f>
        <v/>
      </c>
      <c r="Z399" s="4" t="str">
        <f aca="false">IF(AND($A399=$A400,W399=100,W400=100),"full access","")</f>
        <v/>
      </c>
      <c r="AA399" s="4" t="str">
        <f aca="false">IF(AND($A399=$A400,X399=100,X400=100),"full access","")</f>
        <v/>
      </c>
      <c r="AB399" s="9" t="str">
        <f aca="false">IF(AND(ISNUMBER(T399),ISNUMBER(U399)),T399-U399,"")</f>
        <v/>
      </c>
    </row>
    <row r="400" customFormat="false" ht="15" hidden="false" customHeight="false" outlineLevel="0" collapsed="false">
      <c r="A400" s="10" t="s">
        <v>282</v>
      </c>
      <c r="B400" s="10" t="str">
        <f aca="false">IFERROR(INDEX('Region Lookup'!$B$2:$B$233,MATCH(A400,'Region Lookup'!$A$2:$A$233,0)),"Not found")</f>
        <v>Europe &amp; Central Asia</v>
      </c>
      <c r="C400" s="10" t="n">
        <v>2015</v>
      </c>
      <c r="D400" s="11" t="n">
        <v>9764.949219</v>
      </c>
      <c r="E400" s="12" t="n">
        <v>86.5530014</v>
      </c>
      <c r="F400" s="12" t="n">
        <v>99.78123103</v>
      </c>
      <c r="G400" s="12" t="n">
        <v>0</v>
      </c>
      <c r="H400" s="12" t="n">
        <v>0.2187689729</v>
      </c>
      <c r="I400" s="12" t="n">
        <v>0</v>
      </c>
      <c r="J400" s="12" t="n">
        <v>99.54998653</v>
      </c>
      <c r="K400" s="12" t="n">
        <v>0</v>
      </c>
      <c r="L400" s="12" t="n">
        <v>0.4500134657</v>
      </c>
      <c r="M400" s="12" t="n">
        <v>0</v>
      </c>
      <c r="N400" s="12" t="n">
        <v>99.81716039</v>
      </c>
      <c r="O400" s="12" t="n">
        <v>0</v>
      </c>
      <c r="P400" s="12" t="n">
        <v>0.1828396148</v>
      </c>
      <c r="Q400" s="12" t="n">
        <v>0</v>
      </c>
      <c r="R400" s="13" t="n">
        <f aca="false">IF($A400=$A401,$C401-$C400,"")</f>
        <v>5</v>
      </c>
      <c r="S400" s="14" t="n">
        <f aca="false">IF(AND($A400=$A401,ISNUMBER(F400),ISNUMBER(F401)),(F401-F400)/($C401-$C400),"")</f>
        <v>0.00912731999999892</v>
      </c>
      <c r="T400" s="14" t="n">
        <f aca="false">IF(AND($A400=$A401,ISNUMBER(J400),ISNUMBER(J401)),(J401-J400)/($C401-$C400),"")</f>
        <v>0.0338776420000016</v>
      </c>
      <c r="U400" s="14" t="n">
        <f aca="false">IF(AND($A400=$A401,ISNUMBER(N400),ISNUMBER(N401)),(N401-N400)/($C401-$C400),"")</f>
        <v>0.0048794579999992</v>
      </c>
      <c r="V400" s="13" t="n">
        <f aca="false">IF(ISNUMBER(F400),ROUND(F400,0),"")</f>
        <v>100</v>
      </c>
      <c r="W400" s="13" t="n">
        <f aca="false">IF(ISNUMBER(J400),ROUND(J400,0),"")</f>
        <v>100</v>
      </c>
      <c r="X400" s="13" t="n">
        <f aca="false">IF(ISNUMBER(N400),ROUND(N400,0),"")</f>
        <v>100</v>
      </c>
      <c r="Y400" s="10" t="str">
        <f aca="false">IF(AND($A400=$A401,V400=100,V401=100),"full access","")</f>
        <v>full access</v>
      </c>
      <c r="Z400" s="10" t="str">
        <f aca="false">IF(AND($A400=$A401,W400=100,W401=100),"full access","")</f>
        <v>full access</v>
      </c>
      <c r="AA400" s="10" t="str">
        <f aca="false">IF(AND($A400=$A401,X400=100,X401=100),"full access","")</f>
        <v>full access</v>
      </c>
      <c r="AB400" s="14" t="n">
        <f aca="false">IF(AND(ISNUMBER(T400),ISNUMBER(U400)),T400-U400,"")</f>
        <v>0.0289981840000024</v>
      </c>
    </row>
    <row r="401" customFormat="false" ht="15" hidden="false" customHeight="false" outlineLevel="0" collapsed="false">
      <c r="A401" s="10" t="s">
        <v>282</v>
      </c>
      <c r="B401" s="10" t="str">
        <f aca="false">IFERROR(INDEX('Region Lookup'!$B$2:$B$233,MATCH(A401,'Region Lookup'!$A$2:$A$233,0)),"Not found")</f>
        <v>Europe &amp; Central Asia</v>
      </c>
      <c r="C401" s="10" t="n">
        <v>2020</v>
      </c>
      <c r="D401" s="11" t="n">
        <v>10099.26953</v>
      </c>
      <c r="E401" s="12" t="n">
        <v>87.97699738</v>
      </c>
      <c r="F401" s="12" t="n">
        <v>99.82686763</v>
      </c>
      <c r="G401" s="12" t="n">
        <v>0</v>
      </c>
      <c r="H401" s="12" t="n">
        <v>0.1731323735</v>
      </c>
      <c r="I401" s="12" t="n">
        <v>0</v>
      </c>
      <c r="J401" s="12" t="n">
        <v>99.71937474</v>
      </c>
      <c r="K401" s="12" t="n">
        <v>0</v>
      </c>
      <c r="L401" s="12" t="n">
        <v>0.2806252626</v>
      </c>
      <c r="M401" s="12" t="n">
        <v>0</v>
      </c>
      <c r="N401" s="12" t="n">
        <v>99.84155768</v>
      </c>
      <c r="O401" s="12" t="n">
        <v>0</v>
      </c>
      <c r="P401" s="12" t="n">
        <v>0.1584423157</v>
      </c>
      <c r="Q401" s="12" t="n">
        <v>0</v>
      </c>
      <c r="R401" s="13" t="str">
        <f aca="false">IF($A401=$A402,$C402-$C401,"")</f>
        <v/>
      </c>
      <c r="S401" s="14" t="str">
        <f aca="false">IF(AND($A401=$A402,ISNUMBER(F401),ISNUMBER(F402)),(F402-F401)/($C402-$C401),"")</f>
        <v/>
      </c>
      <c r="T401" s="14" t="str">
        <f aca="false">IF(AND($A401=$A402,ISNUMBER(J401),ISNUMBER(J402)),(J402-J401)/($C402-$C401),"")</f>
        <v/>
      </c>
      <c r="U401" s="14" t="str">
        <f aca="false">IF(AND($A401=$A402,ISNUMBER(N401),ISNUMBER(N402)),(N402-N401)/($C402-$C401),"")</f>
        <v/>
      </c>
      <c r="V401" s="13" t="n">
        <f aca="false">IF(ISNUMBER(F401),ROUND(F401,0),"")</f>
        <v>100</v>
      </c>
      <c r="W401" s="13" t="n">
        <f aca="false">IF(ISNUMBER(J401),ROUND(J401,0),"")</f>
        <v>100</v>
      </c>
      <c r="X401" s="13" t="n">
        <f aca="false">IF(ISNUMBER(N401),ROUND(N401,0),"")</f>
        <v>100</v>
      </c>
      <c r="Y401" s="10" t="str">
        <f aca="false">IF(AND($A401=$A402,V401=100,V402=100),"full access","")</f>
        <v/>
      </c>
      <c r="Z401" s="10" t="str">
        <f aca="false">IF(AND($A401=$A402,W401=100,W402=100),"full access","")</f>
        <v/>
      </c>
      <c r="AA401" s="10" t="str">
        <f aca="false">IF(AND($A401=$A402,X401=100,X402=100),"full access","")</f>
        <v/>
      </c>
      <c r="AB401" s="14" t="str">
        <f aca="false">IF(AND(ISNUMBER(T401),ISNUMBER(U401)),T401-U401,"")</f>
        <v/>
      </c>
    </row>
    <row r="402" customFormat="false" ht="15" hidden="false" customHeight="false" outlineLevel="0" collapsed="false">
      <c r="A402" s="4" t="s">
        <v>283</v>
      </c>
      <c r="B402" s="4" t="str">
        <f aca="false">IFERROR(INDEX('Region Lookup'!$B$2:$B$233,MATCH(A402,'Region Lookup'!$A$2:$A$233,0)),"Not found")</f>
        <v>Europe &amp; Central Asia</v>
      </c>
      <c r="C402" s="4" t="n">
        <v>2015</v>
      </c>
      <c r="D402" s="6" t="n">
        <v>8296.775391</v>
      </c>
      <c r="E402" s="7" t="n">
        <v>73.71800232</v>
      </c>
      <c r="F402" s="7" t="n">
        <v>100</v>
      </c>
      <c r="G402" s="7" t="n">
        <v>0</v>
      </c>
      <c r="H402" s="7" t="n">
        <v>0</v>
      </c>
      <c r="I402" s="7" t="n">
        <v>0</v>
      </c>
      <c r="J402" s="7" t="n">
        <v>100</v>
      </c>
      <c r="K402" s="7" t="n">
        <v>0</v>
      </c>
      <c r="L402" s="7" t="n">
        <v>0</v>
      </c>
      <c r="M402" s="7" t="n">
        <v>0</v>
      </c>
      <c r="N402" s="7" t="n">
        <v>100</v>
      </c>
      <c r="O402" s="7" t="n">
        <v>0</v>
      </c>
      <c r="P402" s="7" t="n">
        <v>0</v>
      </c>
      <c r="Q402" s="7" t="n">
        <v>0</v>
      </c>
      <c r="R402" s="8" t="n">
        <f aca="false">IF($A402=$A403,$C403-$C402,"")</f>
        <v>5</v>
      </c>
      <c r="S402" s="9" t="n">
        <f aca="false">IF(AND($A402=$A403,ISNUMBER(F402),ISNUMBER(F403)),(F403-F402)/($C403-$C402),"")</f>
        <v>5.60000000859873E-007</v>
      </c>
      <c r="T402" s="9" t="n">
        <f aca="false">IF(AND($A402=$A403,ISNUMBER(J402),ISNUMBER(J403)),(J403-J402)/($C403-$C402),"")</f>
        <v>0</v>
      </c>
      <c r="U402" s="9" t="n">
        <f aca="false">IF(AND($A402=$A403,ISNUMBER(N402),ISNUMBER(N403)),(N403-N402)/($C403-$C402),"")</f>
        <v>0</v>
      </c>
      <c r="V402" s="8" t="n">
        <f aca="false">IF(ISNUMBER(F402),ROUND(F402,0),"")</f>
        <v>100</v>
      </c>
      <c r="W402" s="8" t="n">
        <f aca="false">IF(ISNUMBER(J402),ROUND(J402,0),"")</f>
        <v>100</v>
      </c>
      <c r="X402" s="8" t="n">
        <f aca="false">IF(ISNUMBER(N402),ROUND(N402,0),"")</f>
        <v>100</v>
      </c>
      <c r="Y402" s="4" t="str">
        <f aca="false">IF(AND($A402=$A403,V402=100,V403=100),"full access","")</f>
        <v>full access</v>
      </c>
      <c r="Z402" s="4" t="str">
        <f aca="false">IF(AND($A402=$A403,W402=100,W403=100),"full access","")</f>
        <v>full access</v>
      </c>
      <c r="AA402" s="4" t="str">
        <f aca="false">IF(AND($A402=$A403,X402=100,X403=100),"full access","")</f>
        <v>full access</v>
      </c>
      <c r="AB402" s="9" t="n">
        <f aca="false">IF(AND(ISNUMBER(T402),ISNUMBER(U402)),T402-U402,"")</f>
        <v>0</v>
      </c>
    </row>
    <row r="403" customFormat="false" ht="15" hidden="false" customHeight="false" outlineLevel="0" collapsed="false">
      <c r="A403" s="4" t="s">
        <v>283</v>
      </c>
      <c r="B403" s="4" t="str">
        <f aca="false">IFERROR(INDEX('Region Lookup'!$B$2:$B$233,MATCH(A403,'Region Lookup'!$A$2:$A$233,0)),"Not found")</f>
        <v>Europe &amp; Central Asia</v>
      </c>
      <c r="C403" s="4" t="n">
        <v>2020</v>
      </c>
      <c r="D403" s="6" t="n">
        <v>8654.618164</v>
      </c>
      <c r="E403" s="7" t="n">
        <v>73.91500092</v>
      </c>
      <c r="F403" s="7" t="n">
        <v>100.0000028</v>
      </c>
      <c r="G403" s="7" t="n">
        <v>0</v>
      </c>
      <c r="H403" s="7" t="n">
        <v>0</v>
      </c>
      <c r="I403" s="7" t="n">
        <v>0</v>
      </c>
      <c r="J403" s="7" t="n">
        <v>100</v>
      </c>
      <c r="K403" s="7" t="n">
        <v>0</v>
      </c>
      <c r="L403" s="7" t="n">
        <v>0</v>
      </c>
      <c r="M403" s="7" t="n">
        <v>0</v>
      </c>
      <c r="N403" s="7" t="n">
        <v>100</v>
      </c>
      <c r="O403" s="7" t="n">
        <v>0</v>
      </c>
      <c r="P403" s="7" t="n">
        <v>0</v>
      </c>
      <c r="Q403" s="7" t="n">
        <v>0</v>
      </c>
      <c r="R403" s="8" t="str">
        <f aca="false">IF($A403=$A404,$C404-$C403,"")</f>
        <v/>
      </c>
      <c r="S403" s="9" t="str">
        <f aca="false">IF(AND($A403=$A404,ISNUMBER(F403),ISNUMBER(F404)),(F404-F403)/($C404-$C403),"")</f>
        <v/>
      </c>
      <c r="T403" s="9" t="str">
        <f aca="false">IF(AND($A403=$A404,ISNUMBER(J403),ISNUMBER(J404)),(J404-J403)/($C404-$C403),"")</f>
        <v/>
      </c>
      <c r="U403" s="9" t="str">
        <f aca="false">IF(AND($A403=$A404,ISNUMBER(N403),ISNUMBER(N404)),(N404-N403)/($C404-$C403),"")</f>
        <v/>
      </c>
      <c r="V403" s="8" t="n">
        <f aca="false">IF(ISNUMBER(F403),ROUND(F403,0),"")</f>
        <v>100</v>
      </c>
      <c r="W403" s="8" t="n">
        <f aca="false">IF(ISNUMBER(J403),ROUND(J403,0),"")</f>
        <v>100</v>
      </c>
      <c r="X403" s="8" t="n">
        <f aca="false">IF(ISNUMBER(N403),ROUND(N403,0),"")</f>
        <v>100</v>
      </c>
      <c r="Y403" s="4" t="str">
        <f aca="false">IF(AND($A403=$A404,V403=100,V404=100),"full access","")</f>
        <v/>
      </c>
      <c r="Z403" s="4" t="str">
        <f aca="false">IF(AND($A403=$A404,W403=100,W404=100),"full access","")</f>
        <v/>
      </c>
      <c r="AA403" s="4" t="str">
        <f aca="false">IF(AND($A403=$A404,X403=100,X404=100),"full access","")</f>
        <v/>
      </c>
      <c r="AB403" s="9" t="str">
        <f aca="false">IF(AND(ISNUMBER(T403),ISNUMBER(U403)),T403-U403,"")</f>
        <v/>
      </c>
    </row>
    <row r="404" customFormat="false" ht="15" hidden="false" customHeight="false" outlineLevel="0" collapsed="false">
      <c r="A404" s="10" t="s">
        <v>284</v>
      </c>
      <c r="B404" s="10" t="str">
        <f aca="false">IFERROR(INDEX('Region Lookup'!$B$2:$B$233,MATCH(A404,'Region Lookup'!$A$2:$A$233,0)),"Not found")</f>
        <v>Middle East &amp; North Africa</v>
      </c>
      <c r="C404" s="10" t="n">
        <v>2015</v>
      </c>
      <c r="D404" s="11" t="n">
        <v>17997.41016</v>
      </c>
      <c r="E404" s="12" t="n">
        <v>52.16799927</v>
      </c>
      <c r="F404" s="12" t="n">
        <v>93.50961148</v>
      </c>
      <c r="G404" s="12" t="n">
        <v>5.968083628</v>
      </c>
      <c r="H404" s="12" t="n">
        <v>0.5223048883</v>
      </c>
      <c r="I404" s="12" t="n">
        <v>0</v>
      </c>
      <c r="J404" s="12" t="n">
        <v>91.3857051</v>
      </c>
      <c r="K404" s="12" t="n">
        <v>7.857323656</v>
      </c>
      <c r="L404" s="12" t="n">
        <v>0.7569712439</v>
      </c>
      <c r="M404" s="12" t="n">
        <v>0</v>
      </c>
      <c r="N404" s="12" t="n">
        <v>95.45698719</v>
      </c>
      <c r="O404" s="12" t="n">
        <v>4.235869737</v>
      </c>
      <c r="P404" s="12" t="n">
        <v>0.3071430695</v>
      </c>
      <c r="Q404" s="12" t="n">
        <v>0</v>
      </c>
      <c r="R404" s="13" t="n">
        <f aca="false">IF($A404=$A405,$C405-$C404,"")</f>
        <v>5</v>
      </c>
      <c r="S404" s="14" t="n">
        <f aca="false">IF(AND($A404=$A405,ISNUMBER(F404),ISNUMBER(F405)),(F405-F404)/($C405-$C404),"")</f>
        <v>0.0832491399999981</v>
      </c>
      <c r="T404" s="14" t="n">
        <f aca="false">IF(AND($A404=$A405,ISNUMBER(J404),ISNUMBER(J405)),(J405-J404)/($C405-$C404),"")</f>
        <v>0.139407980000001</v>
      </c>
      <c r="U404" s="14" t="n">
        <f aca="false">IF(AND($A404=$A405,ISNUMBER(N404),ISNUMBER(N405)),(N405-N404)/($C405-$C404),"")</f>
        <v>-0.0103645660000012</v>
      </c>
      <c r="V404" s="13" t="n">
        <f aca="false">IF(ISNUMBER(F404),ROUND(F404,0),"")</f>
        <v>94</v>
      </c>
      <c r="W404" s="13" t="n">
        <f aca="false">IF(ISNUMBER(J404),ROUND(J404,0),"")</f>
        <v>91</v>
      </c>
      <c r="X404" s="13" t="n">
        <f aca="false">IF(ISNUMBER(N404),ROUND(N404,0),"")</f>
        <v>95</v>
      </c>
      <c r="Y404" s="10" t="str">
        <f aca="false">IF(AND($A404=$A405,V404=100,V405=100),"full access","")</f>
        <v/>
      </c>
      <c r="Z404" s="10" t="str">
        <f aca="false">IF(AND($A404=$A405,W404=100,W405=100),"full access","")</f>
        <v/>
      </c>
      <c r="AA404" s="10" t="str">
        <f aca="false">IF(AND($A404=$A405,X404=100,X405=100),"full access","")</f>
        <v/>
      </c>
      <c r="AB404" s="14" t="n">
        <f aca="false">IF(AND(ISNUMBER(T404),ISNUMBER(U404)),T404-U404,"")</f>
        <v>0.149772546000003</v>
      </c>
    </row>
    <row r="405" customFormat="false" ht="15" hidden="false" customHeight="false" outlineLevel="0" collapsed="false">
      <c r="A405" s="10" t="s">
        <v>284</v>
      </c>
      <c r="B405" s="10" t="str">
        <f aca="false">IFERROR(INDEX('Region Lookup'!$B$2:$B$233,MATCH(A405,'Region Lookup'!$A$2:$A$233,0)),"Not found")</f>
        <v>Middle East &amp; North Africa</v>
      </c>
      <c r="C405" s="10" t="n">
        <v>2020</v>
      </c>
      <c r="D405" s="11" t="n">
        <v>17500.65625</v>
      </c>
      <c r="E405" s="12" t="n">
        <v>55.47500229</v>
      </c>
      <c r="F405" s="12" t="n">
        <v>93.92585718</v>
      </c>
      <c r="G405" s="12" t="n">
        <v>5.873730768</v>
      </c>
      <c r="H405" s="12" t="n">
        <v>0.2004120542</v>
      </c>
      <c r="I405" s="12" t="n">
        <v>0</v>
      </c>
      <c r="J405" s="12" t="n">
        <v>92.082745</v>
      </c>
      <c r="K405" s="12" t="n">
        <v>7.917255</v>
      </c>
      <c r="L405" s="12" t="n">
        <v>0</v>
      </c>
      <c r="M405" s="12" t="n">
        <v>0</v>
      </c>
      <c r="N405" s="12" t="n">
        <v>95.40516436</v>
      </c>
      <c r="O405" s="12" t="n">
        <v>4.233570117</v>
      </c>
      <c r="P405" s="12" t="n">
        <v>0.361265525</v>
      </c>
      <c r="Q405" s="12" t="n">
        <v>0</v>
      </c>
      <c r="R405" s="13" t="str">
        <f aca="false">IF($A405=$A406,$C406-$C405,"")</f>
        <v/>
      </c>
      <c r="S405" s="14" t="str">
        <f aca="false">IF(AND($A405=$A406,ISNUMBER(F405),ISNUMBER(F406)),(F406-F405)/($C406-$C405),"")</f>
        <v/>
      </c>
      <c r="T405" s="14" t="str">
        <f aca="false">IF(AND($A405=$A406,ISNUMBER(J405),ISNUMBER(J406)),(J406-J405)/($C406-$C405),"")</f>
        <v/>
      </c>
      <c r="U405" s="14" t="str">
        <f aca="false">IF(AND($A405=$A406,ISNUMBER(N405),ISNUMBER(N406)),(N406-N405)/($C406-$C405),"")</f>
        <v/>
      </c>
      <c r="V405" s="13" t="n">
        <f aca="false">IF(ISNUMBER(F405),ROUND(F405,0),"")</f>
        <v>94</v>
      </c>
      <c r="W405" s="13" t="n">
        <f aca="false">IF(ISNUMBER(J405),ROUND(J405,0),"")</f>
        <v>92</v>
      </c>
      <c r="X405" s="13" t="n">
        <f aca="false">IF(ISNUMBER(N405),ROUND(N405,0),"")</f>
        <v>95</v>
      </c>
      <c r="Y405" s="10" t="str">
        <f aca="false">IF(AND($A405=$A406,V405=100,V406=100),"full access","")</f>
        <v/>
      </c>
      <c r="Z405" s="10" t="str">
        <f aca="false">IF(AND($A405=$A406,W405=100,W406=100),"full access","")</f>
        <v/>
      </c>
      <c r="AA405" s="10" t="str">
        <f aca="false">IF(AND($A405=$A406,X405=100,X406=100),"full access","")</f>
        <v/>
      </c>
      <c r="AB405" s="14" t="str">
        <f aca="false">IF(AND(ISNUMBER(T405),ISNUMBER(U405)),T405-U405,"")</f>
        <v/>
      </c>
    </row>
    <row r="406" customFormat="false" ht="15" hidden="false" customHeight="false" outlineLevel="0" collapsed="false">
      <c r="A406" s="4" t="s">
        <v>285</v>
      </c>
      <c r="B406" s="4" t="str">
        <f aca="false">IFERROR(INDEX('Region Lookup'!$B$2:$B$233,MATCH(A406,'Region Lookup'!$A$2:$A$233,0)),"Not found")</f>
        <v>Europe &amp; Central Asia</v>
      </c>
      <c r="C406" s="4" t="n">
        <v>2015</v>
      </c>
      <c r="D406" s="6" t="n">
        <v>8454.018555</v>
      </c>
      <c r="E406" s="7" t="n">
        <v>26.74200058</v>
      </c>
      <c r="F406" s="7" t="n">
        <v>76.23949551</v>
      </c>
      <c r="G406" s="7" t="n">
        <v>3.050011091</v>
      </c>
      <c r="H406" s="7" t="n">
        <v>3.944733748</v>
      </c>
      <c r="I406" s="7" t="n">
        <v>16.76575965</v>
      </c>
      <c r="J406" s="7" t="n">
        <v>69.55218206</v>
      </c>
      <c r="K406" s="7" t="n">
        <v>3.681021887</v>
      </c>
      <c r="L406" s="7" t="n">
        <v>4.857485512</v>
      </c>
      <c r="M406" s="7" t="n">
        <v>21.90931054</v>
      </c>
      <c r="N406" s="7" t="n">
        <v>94.55895539</v>
      </c>
      <c r="O406" s="7" t="n">
        <v>1.321396987</v>
      </c>
      <c r="P406" s="7" t="n">
        <v>1.444318955</v>
      </c>
      <c r="Q406" s="7" t="n">
        <v>2.675328663</v>
      </c>
      <c r="R406" s="8" t="n">
        <f aca="false">IF($A406=$A407,$C407-$C406,"")</f>
        <v>5</v>
      </c>
      <c r="S406" s="9" t="n">
        <f aca="false">IF(AND($A406=$A407,ISNUMBER(F406),ISNUMBER(F407)),(F407-F406)/($C407-$C406),"")</f>
        <v>1.122583902</v>
      </c>
      <c r="T406" s="9" t="n">
        <f aca="false">IF(AND($A406=$A407,ISNUMBER(J406),ISNUMBER(J407)),(J407-J406)/($C407-$C406),"")</f>
        <v>1.418283428</v>
      </c>
      <c r="U406" s="9" t="n">
        <f aca="false">IF(AND($A406=$A407,ISNUMBER(N406),ISNUMBER(N407)),(N407-N406)/($C407-$C406),"")</f>
        <v>0.204333694000002</v>
      </c>
      <c r="V406" s="8" t="n">
        <f aca="false">IF(ISNUMBER(F406),ROUND(F406,0),"")</f>
        <v>76</v>
      </c>
      <c r="W406" s="8" t="n">
        <f aca="false">IF(ISNUMBER(J406),ROUND(J406,0),"")</f>
        <v>70</v>
      </c>
      <c r="X406" s="8" t="n">
        <f aca="false">IF(ISNUMBER(N406),ROUND(N406,0),"")</f>
        <v>95</v>
      </c>
      <c r="Y406" s="4" t="str">
        <f aca="false">IF(AND($A406=$A407,V406=100,V407=100),"full access","")</f>
        <v/>
      </c>
      <c r="Z406" s="4" t="str">
        <f aca="false">IF(AND($A406=$A407,W406=100,W407=100),"full access","")</f>
        <v/>
      </c>
      <c r="AA406" s="4" t="str">
        <f aca="false">IF(AND($A406=$A407,X406=100,X407=100),"full access","")</f>
        <v/>
      </c>
      <c r="AB406" s="9" t="n">
        <f aca="false">IF(AND(ISNUMBER(T406),ISNUMBER(U406)),T406-U406,"")</f>
        <v>1.213949734</v>
      </c>
    </row>
    <row r="407" customFormat="false" ht="15" hidden="false" customHeight="false" outlineLevel="0" collapsed="false">
      <c r="A407" s="4" t="s">
        <v>285</v>
      </c>
      <c r="B407" s="4" t="str">
        <f aca="false">IFERROR(INDEX('Region Lookup'!$B$2:$B$233,MATCH(A407,'Region Lookup'!$A$2:$A$233,0)),"Not found")</f>
        <v>Europe &amp; Central Asia</v>
      </c>
      <c r="C407" s="4" t="n">
        <v>2020</v>
      </c>
      <c r="D407" s="6" t="n">
        <v>9537.641602</v>
      </c>
      <c r="E407" s="7" t="n">
        <v>27.50599861</v>
      </c>
      <c r="F407" s="7" t="n">
        <v>81.85241502</v>
      </c>
      <c r="G407" s="7" t="n">
        <v>2.568363935</v>
      </c>
      <c r="H407" s="7" t="n">
        <v>3.421857005</v>
      </c>
      <c r="I407" s="7" t="n">
        <v>12.15736404</v>
      </c>
      <c r="J407" s="7" t="n">
        <v>76.6435992</v>
      </c>
      <c r="K407" s="7" t="n">
        <v>3.207143928</v>
      </c>
      <c r="L407" s="7" t="n">
        <v>4.140706948</v>
      </c>
      <c r="M407" s="7" t="n">
        <v>16.00854992</v>
      </c>
      <c r="N407" s="7" t="n">
        <v>95.58062386</v>
      </c>
      <c r="O407" s="7" t="n">
        <v>0.8848144763</v>
      </c>
      <c r="P407" s="7" t="n">
        <v>1.527268323</v>
      </c>
      <c r="Q407" s="7" t="n">
        <v>2.007293339</v>
      </c>
      <c r="R407" s="8" t="str">
        <f aca="false">IF($A407=$A408,$C408-$C407,"")</f>
        <v/>
      </c>
      <c r="S407" s="9" t="str">
        <f aca="false">IF(AND($A407=$A408,ISNUMBER(F407),ISNUMBER(F408)),(F408-F407)/($C408-$C407),"")</f>
        <v/>
      </c>
      <c r="T407" s="9" t="str">
        <f aca="false">IF(AND($A407=$A408,ISNUMBER(J407),ISNUMBER(J408)),(J408-J407)/($C408-$C407),"")</f>
        <v/>
      </c>
      <c r="U407" s="9" t="str">
        <f aca="false">IF(AND($A407=$A408,ISNUMBER(N407),ISNUMBER(N408)),(N408-N407)/($C408-$C407),"")</f>
        <v/>
      </c>
      <c r="V407" s="8" t="n">
        <f aca="false">IF(ISNUMBER(F407),ROUND(F407,0),"")</f>
        <v>82</v>
      </c>
      <c r="W407" s="8" t="n">
        <f aca="false">IF(ISNUMBER(J407),ROUND(J407,0),"")</f>
        <v>77</v>
      </c>
      <c r="X407" s="8" t="n">
        <f aca="false">IF(ISNUMBER(N407),ROUND(N407,0),"")</f>
        <v>96</v>
      </c>
      <c r="Y407" s="4" t="str">
        <f aca="false">IF(AND($A407=$A408,V407=100,V408=100),"full access","")</f>
        <v/>
      </c>
      <c r="Z407" s="4" t="str">
        <f aca="false">IF(AND($A407=$A408,W407=100,W408=100),"full access","")</f>
        <v/>
      </c>
      <c r="AA407" s="4" t="str">
        <f aca="false">IF(AND($A407=$A408,X407=100,X408=100),"full access","")</f>
        <v/>
      </c>
      <c r="AB407" s="9" t="str">
        <f aca="false">IF(AND(ISNUMBER(T407),ISNUMBER(U407)),T407-U407,"")</f>
        <v/>
      </c>
    </row>
    <row r="408" customFormat="false" ht="15" hidden="false" customHeight="false" outlineLevel="0" collapsed="false">
      <c r="A408" s="10" t="s">
        <v>286</v>
      </c>
      <c r="B408" s="10" t="str">
        <f aca="false">IFERROR(INDEX('Region Lookup'!$B$2:$B$233,MATCH(A408,'Region Lookup'!$A$2:$A$233,0)),"Not found")</f>
        <v>East Asia &amp; Pacific</v>
      </c>
      <c r="C408" s="10" t="n">
        <v>2015</v>
      </c>
      <c r="D408" s="11" t="n">
        <v>68714.51563</v>
      </c>
      <c r="E408" s="12" t="n">
        <v>47.69400406</v>
      </c>
      <c r="F408" s="12" t="n">
        <v>99.25917058</v>
      </c>
      <c r="G408" s="12" t="n">
        <v>0.2176525852</v>
      </c>
      <c r="H408" s="12" t="n">
        <v>0.1822513237</v>
      </c>
      <c r="I408" s="12" t="n">
        <v>0.3409255143</v>
      </c>
      <c r="J408" s="12" t="n">
        <v>98.87951671</v>
      </c>
      <c r="K408" s="12" t="n">
        <v>0.2456716052</v>
      </c>
      <c r="L408" s="12" t="n">
        <v>0.2230211905</v>
      </c>
      <c r="M408" s="12" t="n">
        <v>0.65179049</v>
      </c>
      <c r="N408" s="12" t="n">
        <v>99.67553684</v>
      </c>
      <c r="O408" s="12" t="n">
        <v>0.1869241354</v>
      </c>
      <c r="P408" s="12" t="n">
        <v>0.1375390245</v>
      </c>
      <c r="Q408" s="12" t="n">
        <v>0</v>
      </c>
      <c r="R408" s="13" t="n">
        <f aca="false">IF($A408=$A409,$C409-$C408,"")</f>
        <v>5</v>
      </c>
      <c r="S408" s="14" t="n">
        <f aca="false">IF(AND($A408=$A409,ISNUMBER(F408),ISNUMBER(F409)),(F409-F408)/($C409-$C408),"")</f>
        <v>0.148165883999999</v>
      </c>
      <c r="T408" s="14" t="n">
        <f aca="false">IF(AND($A408=$A409,ISNUMBER(J408),ISNUMBER(J409)),(J409-J408)/($C409-$C408),"")</f>
        <v>0.224096657999999</v>
      </c>
      <c r="U408" s="14" t="n">
        <f aca="false">IF(AND($A408=$A409,ISNUMBER(N408),ISNUMBER(N409)),(N409-N408)/($C409-$C408),"")</f>
        <v>0.0648926319999987</v>
      </c>
      <c r="V408" s="13" t="n">
        <f aca="false">IF(ISNUMBER(F408),ROUND(F408,0),"")</f>
        <v>99</v>
      </c>
      <c r="W408" s="13" t="n">
        <f aca="false">IF(ISNUMBER(J408),ROUND(J408,0),"")</f>
        <v>99</v>
      </c>
      <c r="X408" s="13" t="n">
        <f aca="false">IF(ISNUMBER(N408),ROUND(N408,0),"")</f>
        <v>100</v>
      </c>
      <c r="Y408" s="10" t="str">
        <f aca="false">IF(AND($A408=$A409,V408=100,V409=100),"full access","")</f>
        <v/>
      </c>
      <c r="Z408" s="10" t="str">
        <f aca="false">IF(AND($A408=$A409,W408=100,W409=100),"full access","")</f>
        <v/>
      </c>
      <c r="AA408" s="10" t="str">
        <f aca="false">IF(AND($A408=$A409,X408=100,X409=100),"full access","")</f>
        <v>full access</v>
      </c>
      <c r="AB408" s="14" t="n">
        <f aca="false">IF(AND(ISNUMBER(T408),ISNUMBER(U408)),T408-U408,"")</f>
        <v>0.159204026</v>
      </c>
    </row>
    <row r="409" customFormat="false" ht="15" hidden="false" customHeight="false" outlineLevel="0" collapsed="false">
      <c r="A409" s="10" t="s">
        <v>286</v>
      </c>
      <c r="B409" s="10" t="str">
        <f aca="false">IFERROR(INDEX('Region Lookup'!$B$2:$B$233,MATCH(A409,'Region Lookup'!$A$2:$A$233,0)),"Not found")</f>
        <v>East Asia &amp; Pacific</v>
      </c>
      <c r="C409" s="10" t="n">
        <v>2020</v>
      </c>
      <c r="D409" s="11" t="n">
        <v>69799.97656</v>
      </c>
      <c r="E409" s="12" t="n">
        <v>51.43000031</v>
      </c>
      <c r="F409" s="12" t="n">
        <v>100</v>
      </c>
      <c r="G409" s="12" t="n">
        <v>0</v>
      </c>
      <c r="H409" s="12" t="n">
        <v>0</v>
      </c>
      <c r="I409" s="12" t="n">
        <v>0</v>
      </c>
      <c r="J409" s="12" t="n">
        <v>100</v>
      </c>
      <c r="K409" s="12" t="n">
        <v>0</v>
      </c>
      <c r="L409" s="12" t="n">
        <v>0</v>
      </c>
      <c r="M409" s="12" t="n">
        <v>0</v>
      </c>
      <c r="N409" s="12" t="n">
        <v>100</v>
      </c>
      <c r="O409" s="12" t="n">
        <v>0</v>
      </c>
      <c r="P409" s="12" t="n">
        <v>0</v>
      </c>
      <c r="Q409" s="12" t="n">
        <v>0</v>
      </c>
      <c r="R409" s="13" t="str">
        <f aca="false">IF($A409=$A410,$C410-$C409,"")</f>
        <v/>
      </c>
      <c r="S409" s="14" t="str">
        <f aca="false">IF(AND($A409=$A410,ISNUMBER(F409),ISNUMBER(F410)),(F410-F409)/($C410-$C409),"")</f>
        <v/>
      </c>
      <c r="T409" s="14" t="str">
        <f aca="false">IF(AND($A409=$A410,ISNUMBER(J409),ISNUMBER(J410)),(J410-J409)/($C410-$C409),"")</f>
        <v/>
      </c>
      <c r="U409" s="14" t="str">
        <f aca="false">IF(AND($A409=$A410,ISNUMBER(N409),ISNUMBER(N410)),(N410-N409)/($C410-$C409),"")</f>
        <v/>
      </c>
      <c r="V409" s="13" t="n">
        <f aca="false">IF(ISNUMBER(F409),ROUND(F409,0),"")</f>
        <v>100</v>
      </c>
      <c r="W409" s="13" t="n">
        <f aca="false">IF(ISNUMBER(J409),ROUND(J409,0),"")</f>
        <v>100</v>
      </c>
      <c r="X409" s="13" t="n">
        <f aca="false">IF(ISNUMBER(N409),ROUND(N409,0),"")</f>
        <v>100</v>
      </c>
      <c r="Y409" s="10" t="str">
        <f aca="false">IF(AND($A409=$A410,V409=100,V410=100),"full access","")</f>
        <v/>
      </c>
      <c r="Z409" s="10" t="str">
        <f aca="false">IF(AND($A409=$A410,W409=100,W410=100),"full access","")</f>
        <v/>
      </c>
      <c r="AA409" s="10" t="str">
        <f aca="false">IF(AND($A409=$A410,X409=100,X410=100),"full access","")</f>
        <v/>
      </c>
      <c r="AB409" s="14" t="str">
        <f aca="false">IF(AND(ISNUMBER(T409),ISNUMBER(U409)),T409-U409,"")</f>
        <v/>
      </c>
    </row>
    <row r="410" customFormat="false" ht="15" hidden="false" customHeight="false" outlineLevel="0" collapsed="false">
      <c r="A410" s="4" t="s">
        <v>287</v>
      </c>
      <c r="B410" s="4" t="str">
        <f aca="false">IFERROR(INDEX('Region Lookup'!$B$2:$B$233,MATCH(A410,'Region Lookup'!$A$2:$A$233,0)),"Not found")</f>
        <v>East Asia &amp; Pacific</v>
      </c>
      <c r="C410" s="4" t="n">
        <v>2015</v>
      </c>
      <c r="D410" s="6" t="n">
        <v>1196.293945</v>
      </c>
      <c r="E410" s="7" t="n">
        <v>29.48999977</v>
      </c>
      <c r="F410" s="7" t="n">
        <v>75.25010371</v>
      </c>
      <c r="G410" s="7" t="n">
        <v>3.486316247</v>
      </c>
      <c r="H410" s="7" t="n">
        <v>16.46074672</v>
      </c>
      <c r="I410" s="7" t="n">
        <v>4.802833323</v>
      </c>
      <c r="J410" s="7" t="n">
        <v>68.95938975</v>
      </c>
      <c r="K410" s="7" t="n">
        <v>4.20850771</v>
      </c>
      <c r="L410" s="7" t="n">
        <v>20.19524109</v>
      </c>
      <c r="M410" s="7" t="n">
        <v>6.63686145</v>
      </c>
      <c r="N410" s="7" t="n">
        <v>90.29108123</v>
      </c>
      <c r="O410" s="7" t="n">
        <v>1.759571234</v>
      </c>
      <c r="P410" s="7" t="n">
        <v>7.5316383</v>
      </c>
      <c r="Q410" s="7" t="n">
        <v>0.4177092401</v>
      </c>
      <c r="R410" s="8" t="n">
        <f aca="false">IF($A410=$A411,$C411-$C410,"")</f>
        <v>5</v>
      </c>
      <c r="S410" s="9" t="n">
        <f aca="false">IF(AND($A410=$A411,ISNUMBER(F410),ISNUMBER(F411)),(F411-F410)/($C411-$C410),"")</f>
        <v>2.049099498</v>
      </c>
      <c r="T410" s="9" t="n">
        <f aca="false">IF(AND($A410=$A411,ISNUMBER(J410),ISNUMBER(J411)),(J411-J410)/($C411-$C410),"")</f>
        <v>2.305681174</v>
      </c>
      <c r="U410" s="9" t="n">
        <f aca="false">IF(AND($A410=$A411,ISNUMBER(N410),ISNUMBER(N411)),(N411-N410)/($C411-$C410),"")</f>
        <v>1.237175338</v>
      </c>
      <c r="V410" s="8" t="n">
        <f aca="false">IF(ISNUMBER(F410),ROUND(F410,0),"")</f>
        <v>75</v>
      </c>
      <c r="W410" s="8" t="n">
        <f aca="false">IF(ISNUMBER(J410),ROUND(J410,0),"")</f>
        <v>69</v>
      </c>
      <c r="X410" s="8" t="n">
        <f aca="false">IF(ISNUMBER(N410),ROUND(N410,0),"")</f>
        <v>90</v>
      </c>
      <c r="Y410" s="4" t="str">
        <f aca="false">IF(AND($A410=$A411,V410=100,V411=100),"full access","")</f>
        <v/>
      </c>
      <c r="Z410" s="4" t="str">
        <f aca="false">IF(AND($A410=$A411,W410=100,W411=100),"full access","")</f>
        <v/>
      </c>
      <c r="AA410" s="4" t="str">
        <f aca="false">IF(AND($A410=$A411,X410=100,X411=100),"full access","")</f>
        <v/>
      </c>
      <c r="AB410" s="9" t="n">
        <f aca="false">IF(AND(ISNUMBER(T410),ISNUMBER(U410)),T410-U410,"")</f>
        <v>1.068505836</v>
      </c>
    </row>
    <row r="411" customFormat="false" ht="15" hidden="false" customHeight="false" outlineLevel="0" collapsed="false">
      <c r="A411" s="4" t="s">
        <v>287</v>
      </c>
      <c r="B411" s="4" t="str">
        <f aca="false">IFERROR(INDEX('Region Lookup'!$B$2:$B$233,MATCH(A411,'Region Lookup'!$A$2:$A$233,0)),"Not found")</f>
        <v>East Asia &amp; Pacific</v>
      </c>
      <c r="C411" s="4" t="n">
        <v>2020</v>
      </c>
      <c r="D411" s="6" t="n">
        <v>1318.442017</v>
      </c>
      <c r="E411" s="7" t="n">
        <v>31.31999969</v>
      </c>
      <c r="F411" s="7" t="n">
        <v>85.4956012</v>
      </c>
      <c r="G411" s="7" t="n">
        <v>1.88586597</v>
      </c>
      <c r="H411" s="7" t="n">
        <v>8.360029397</v>
      </c>
      <c r="I411" s="7" t="n">
        <v>4.258503433</v>
      </c>
      <c r="J411" s="7" t="n">
        <v>80.48779562</v>
      </c>
      <c r="K411" s="7" t="n">
        <v>2.049364675</v>
      </c>
      <c r="L411" s="7" t="n">
        <v>11.26233968</v>
      </c>
      <c r="M411" s="7" t="n">
        <v>6.200500018</v>
      </c>
      <c r="N411" s="7" t="n">
        <v>96.47695792</v>
      </c>
      <c r="O411" s="7" t="n">
        <v>1.527338152</v>
      </c>
      <c r="P411" s="7" t="n">
        <v>1.995703929</v>
      </c>
      <c r="Q411" s="7" t="n">
        <v>0</v>
      </c>
      <c r="R411" s="8" t="str">
        <f aca="false">IF($A411=$A412,$C412-$C411,"")</f>
        <v/>
      </c>
      <c r="S411" s="9" t="str">
        <f aca="false">IF(AND($A411=$A412,ISNUMBER(F411),ISNUMBER(F412)),(F412-F411)/($C412-$C411),"")</f>
        <v/>
      </c>
      <c r="T411" s="9" t="str">
        <f aca="false">IF(AND($A411=$A412,ISNUMBER(J411),ISNUMBER(J412)),(J412-J411)/($C412-$C411),"")</f>
        <v/>
      </c>
      <c r="U411" s="9" t="str">
        <f aca="false">IF(AND($A411=$A412,ISNUMBER(N411),ISNUMBER(N412)),(N412-N411)/($C412-$C411),"")</f>
        <v/>
      </c>
      <c r="V411" s="8" t="n">
        <f aca="false">IF(ISNUMBER(F411),ROUND(F411,0),"")</f>
        <v>85</v>
      </c>
      <c r="W411" s="8" t="n">
        <f aca="false">IF(ISNUMBER(J411),ROUND(J411,0),"")</f>
        <v>80</v>
      </c>
      <c r="X411" s="8" t="n">
        <f aca="false">IF(ISNUMBER(N411),ROUND(N411,0),"")</f>
        <v>96</v>
      </c>
      <c r="Y411" s="4" t="str">
        <f aca="false">IF(AND($A411=$A412,V411=100,V412=100),"full access","")</f>
        <v/>
      </c>
      <c r="Z411" s="4" t="str">
        <f aca="false">IF(AND($A411=$A412,W411=100,W412=100),"full access","")</f>
        <v/>
      </c>
      <c r="AA411" s="4" t="str">
        <f aca="false">IF(AND($A411=$A412,X411=100,X412=100),"full access","")</f>
        <v/>
      </c>
      <c r="AB411" s="9" t="str">
        <f aca="false">IF(AND(ISNUMBER(T411),ISNUMBER(U411)),T411-U411,"")</f>
        <v/>
      </c>
    </row>
    <row r="412" customFormat="false" ht="15" hidden="false" customHeight="false" outlineLevel="0" collapsed="false">
      <c r="A412" s="10" t="s">
        <v>288</v>
      </c>
      <c r="B412" s="10" t="str">
        <f aca="false">IFERROR(INDEX('Region Lookup'!$B$2:$B$233,MATCH(A412,'Region Lookup'!$A$2:$A$233,0)),"Not found")</f>
        <v>Sub-Saharan Africa</v>
      </c>
      <c r="C412" s="10" t="n">
        <v>2015</v>
      </c>
      <c r="D412" s="11" t="n">
        <v>7323.162109</v>
      </c>
      <c r="E412" s="12" t="n">
        <v>40.09999847</v>
      </c>
      <c r="F412" s="12" t="n">
        <v>63.63712635</v>
      </c>
      <c r="G412" s="12" t="n">
        <v>5.665767965</v>
      </c>
      <c r="H412" s="12" t="n">
        <v>17.17891539</v>
      </c>
      <c r="I412" s="12" t="n">
        <v>13.51819029</v>
      </c>
      <c r="J412" s="12" t="n">
        <v>47.24218328</v>
      </c>
      <c r="K412" s="12" t="n">
        <v>7.334652284</v>
      </c>
      <c r="L412" s="12" t="n">
        <v>23.47003618</v>
      </c>
      <c r="M412" s="12" t="n">
        <v>21.95312825</v>
      </c>
      <c r="N412" s="12" t="n">
        <v>88.1273297</v>
      </c>
      <c r="O412" s="12" t="n">
        <v>3.172845838</v>
      </c>
      <c r="P412" s="12" t="n">
        <v>7.781455041</v>
      </c>
      <c r="Q412" s="12" t="n">
        <v>0.9183694177</v>
      </c>
      <c r="R412" s="13" t="n">
        <f aca="false">IF($A412=$A413,$C413-$C412,"")</f>
        <v>5</v>
      </c>
      <c r="S412" s="14" t="n">
        <f aca="false">IF(AND($A412=$A413,ISNUMBER(F412),ISNUMBER(F413)),(F413-F412)/($C413-$C412),"")</f>
        <v>0.989318747999999</v>
      </c>
      <c r="T412" s="14" t="n">
        <f aca="false">IF(AND($A412=$A413,ISNUMBER(J412),ISNUMBER(J413)),(J413-J412)/($C413-$C412),"")</f>
        <v>0.975073894000001</v>
      </c>
      <c r="U412" s="14" t="n">
        <f aca="false">IF(AND($A412=$A413,ISNUMBER(N412),ISNUMBER(N413)),(N413-N412)/($C413-$C412),"")</f>
        <v>0.492516061999999</v>
      </c>
      <c r="V412" s="13" t="n">
        <f aca="false">IF(ISNUMBER(F412),ROUND(F412,0),"")</f>
        <v>64</v>
      </c>
      <c r="W412" s="13" t="n">
        <f aca="false">IF(ISNUMBER(J412),ROUND(J412,0),"")</f>
        <v>47</v>
      </c>
      <c r="X412" s="13" t="n">
        <f aca="false">IF(ISNUMBER(N412),ROUND(N412,0),"")</f>
        <v>88</v>
      </c>
      <c r="Y412" s="10" t="str">
        <f aca="false">IF(AND($A412=$A413,V412=100,V413=100),"full access","")</f>
        <v/>
      </c>
      <c r="Z412" s="10" t="str">
        <f aca="false">IF(AND($A412=$A413,W412=100,W413=100),"full access","")</f>
        <v/>
      </c>
      <c r="AA412" s="10" t="str">
        <f aca="false">IF(AND($A412=$A413,X412=100,X413=100),"full access","")</f>
        <v/>
      </c>
      <c r="AB412" s="14" t="n">
        <f aca="false">IF(AND(ISNUMBER(T412),ISNUMBER(U412)),T412-U412,"")</f>
        <v>0.482557832000002</v>
      </c>
    </row>
    <row r="413" customFormat="false" ht="15" hidden="false" customHeight="false" outlineLevel="0" collapsed="false">
      <c r="A413" s="10" t="s">
        <v>288</v>
      </c>
      <c r="B413" s="10" t="str">
        <f aca="false">IFERROR(INDEX('Region Lookup'!$B$2:$B$233,MATCH(A413,'Region Lookup'!$A$2:$A$233,0)),"Not found")</f>
        <v>Sub-Saharan Africa</v>
      </c>
      <c r="C413" s="10" t="n">
        <v>2020</v>
      </c>
      <c r="D413" s="11" t="n">
        <v>8278.737305</v>
      </c>
      <c r="E413" s="12" t="n">
        <v>42.79999924</v>
      </c>
      <c r="F413" s="12" t="n">
        <v>68.58372009</v>
      </c>
      <c r="G413" s="12" t="n">
        <v>6.065434765</v>
      </c>
      <c r="H413" s="12" t="n">
        <v>14.16432245</v>
      </c>
      <c r="I413" s="12" t="n">
        <v>11.18652269</v>
      </c>
      <c r="J413" s="12" t="n">
        <v>52.11755275</v>
      </c>
      <c r="K413" s="12" t="n">
        <v>8.187542019</v>
      </c>
      <c r="L413" s="12" t="n">
        <v>20.7910842</v>
      </c>
      <c r="M413" s="12" t="n">
        <v>18.90382103</v>
      </c>
      <c r="N413" s="12" t="n">
        <v>90.58991001</v>
      </c>
      <c r="O413" s="12" t="n">
        <v>3.229348056</v>
      </c>
      <c r="P413" s="12" t="n">
        <v>5.307990528</v>
      </c>
      <c r="Q413" s="12" t="n">
        <v>0.8727514049</v>
      </c>
      <c r="R413" s="13" t="str">
        <f aca="false">IF($A413=$A414,$C414-$C413,"")</f>
        <v/>
      </c>
      <c r="S413" s="14" t="str">
        <f aca="false">IF(AND($A413=$A414,ISNUMBER(F413),ISNUMBER(F414)),(F414-F413)/($C414-$C413),"")</f>
        <v/>
      </c>
      <c r="T413" s="14" t="str">
        <f aca="false">IF(AND($A413=$A414,ISNUMBER(J413),ISNUMBER(J414)),(J414-J413)/($C414-$C413),"")</f>
        <v/>
      </c>
      <c r="U413" s="14" t="str">
        <f aca="false">IF(AND($A413=$A414,ISNUMBER(N413),ISNUMBER(N414)),(N414-N413)/($C414-$C413),"")</f>
        <v/>
      </c>
      <c r="V413" s="13" t="n">
        <f aca="false">IF(ISNUMBER(F413),ROUND(F413,0),"")</f>
        <v>69</v>
      </c>
      <c r="W413" s="13" t="n">
        <f aca="false">IF(ISNUMBER(J413),ROUND(J413,0),"")</f>
        <v>52</v>
      </c>
      <c r="X413" s="13" t="n">
        <f aca="false">IF(ISNUMBER(N413),ROUND(N413,0),"")</f>
        <v>91</v>
      </c>
      <c r="Y413" s="10" t="str">
        <f aca="false">IF(AND($A413=$A414,V413=100,V414=100),"full access","")</f>
        <v/>
      </c>
      <c r="Z413" s="10" t="str">
        <f aca="false">IF(AND($A413=$A414,W413=100,W414=100),"full access","")</f>
        <v/>
      </c>
      <c r="AA413" s="10" t="str">
        <f aca="false">IF(AND($A413=$A414,X413=100,X414=100),"full access","")</f>
        <v/>
      </c>
      <c r="AB413" s="14" t="str">
        <f aca="false">IF(AND(ISNUMBER(T413),ISNUMBER(U413)),T413-U413,"")</f>
        <v/>
      </c>
    </row>
    <row r="414" customFormat="false" ht="15" hidden="false" customHeight="false" outlineLevel="0" collapsed="false">
      <c r="A414" s="4" t="s">
        <v>289</v>
      </c>
      <c r="B414" s="4" t="str">
        <f aca="false">IFERROR(INDEX('Region Lookup'!$B$2:$B$233,MATCH(A414,'Region Lookup'!$A$2:$A$233,0)),"Not found")</f>
        <v>East Asia &amp; Pacific</v>
      </c>
      <c r="C414" s="4" t="n">
        <v>2015</v>
      </c>
      <c r="D414" s="6" t="n">
        <v>1.246999979</v>
      </c>
      <c r="E414" s="7" t="n">
        <v>0</v>
      </c>
      <c r="F414" s="7" t="n">
        <v>99.457396</v>
      </c>
      <c r="G414" s="7" t="n">
        <v>0</v>
      </c>
      <c r="H414" s="7" t="n">
        <v>0.542604</v>
      </c>
      <c r="I414" s="7" t="n">
        <v>0</v>
      </c>
      <c r="J414" s="7" t="n">
        <v>99.457396</v>
      </c>
      <c r="K414" s="7" t="n">
        <v>0</v>
      </c>
      <c r="L414" s="7" t="n">
        <v>0.542604</v>
      </c>
      <c r="M414" s="7" t="n">
        <v>0</v>
      </c>
      <c r="N414" s="7"/>
      <c r="O414" s="7"/>
      <c r="P414" s="7"/>
      <c r="Q414" s="7"/>
      <c r="R414" s="8" t="n">
        <f aca="false">IF($A414=$A415,$C415-$C414,"")</f>
        <v>5</v>
      </c>
      <c r="S414" s="9" t="n">
        <f aca="false">IF(AND($A414=$A415,ISNUMBER(F414),ISNUMBER(F415)),(F415-F414)/($C415-$C414),"")</f>
        <v>0.0500561299999987</v>
      </c>
      <c r="T414" s="9" t="n">
        <f aca="false">IF(AND($A414=$A415,ISNUMBER(J414),ISNUMBER(J415)),(J415-J414)/($C415-$C414),"")</f>
        <v>0.0500561299999987</v>
      </c>
      <c r="U414" s="9" t="str">
        <f aca="false">IF(AND($A414=$A415,ISNUMBER(N414),ISNUMBER(N415)),(N415-N414)/($C415-$C414),"")</f>
        <v/>
      </c>
      <c r="V414" s="8" t="n">
        <f aca="false">IF(ISNUMBER(F414),ROUND(F414,0),"")</f>
        <v>99</v>
      </c>
      <c r="W414" s="8" t="n">
        <f aca="false">IF(ISNUMBER(J414),ROUND(J414,0),"")</f>
        <v>99</v>
      </c>
      <c r="X414" s="8" t="str">
        <f aca="false">IF(ISNUMBER(N414),ROUND(N414,0),"")</f>
        <v/>
      </c>
      <c r="Y414" s="4" t="str">
        <f aca="false">IF(AND($A414=$A415,V414=100,V415=100),"full access","")</f>
        <v/>
      </c>
      <c r="Z414" s="4" t="str">
        <f aca="false">IF(AND($A414=$A415,W414=100,W415=100),"full access","")</f>
        <v/>
      </c>
      <c r="AA414" s="4" t="str">
        <f aca="false">IF(AND($A414=$A415,X414=100,X415=100),"full access","")</f>
        <v/>
      </c>
      <c r="AB414" s="9" t="str">
        <f aca="false">IF(AND(ISNUMBER(T414),ISNUMBER(U414)),T414-U414,"")</f>
        <v/>
      </c>
    </row>
    <row r="415" customFormat="false" ht="15" hidden="false" customHeight="false" outlineLevel="0" collapsed="false">
      <c r="A415" s="4" t="s">
        <v>289</v>
      </c>
      <c r="B415" s="4" t="str">
        <f aca="false">IFERROR(INDEX('Region Lookup'!$B$2:$B$233,MATCH(A415,'Region Lookup'!$A$2:$A$233,0)),"Not found")</f>
        <v>East Asia &amp; Pacific</v>
      </c>
      <c r="C415" s="4" t="n">
        <v>2020</v>
      </c>
      <c r="D415" s="6" t="n">
        <v>1.350000024</v>
      </c>
      <c r="E415" s="7" t="n">
        <v>0</v>
      </c>
      <c r="F415" s="7" t="n">
        <v>99.70767665</v>
      </c>
      <c r="G415" s="7" t="n">
        <v>0</v>
      </c>
      <c r="H415" s="7" t="n">
        <v>0.2923233459</v>
      </c>
      <c r="I415" s="7" t="n">
        <v>0</v>
      </c>
      <c r="J415" s="7" t="n">
        <v>99.70767665</v>
      </c>
      <c r="K415" s="7" t="n">
        <v>0</v>
      </c>
      <c r="L415" s="7" t="n">
        <v>0.2923233459</v>
      </c>
      <c r="M415" s="7" t="n">
        <v>0</v>
      </c>
      <c r="N415" s="7"/>
      <c r="O415" s="7"/>
      <c r="P415" s="7"/>
      <c r="Q415" s="7"/>
      <c r="R415" s="8" t="str">
        <f aca="false">IF($A415=$A416,$C416-$C415,"")</f>
        <v/>
      </c>
      <c r="S415" s="9" t="str">
        <f aca="false">IF(AND($A415=$A416,ISNUMBER(F415),ISNUMBER(F416)),(F416-F415)/($C416-$C415),"")</f>
        <v/>
      </c>
      <c r="T415" s="9" t="str">
        <f aca="false">IF(AND($A415=$A416,ISNUMBER(J415),ISNUMBER(J416)),(J416-J415)/($C416-$C415),"")</f>
        <v/>
      </c>
      <c r="U415" s="9" t="str">
        <f aca="false">IF(AND($A415=$A416,ISNUMBER(N415),ISNUMBER(N416)),(N416-N415)/($C416-$C415),"")</f>
        <v/>
      </c>
      <c r="V415" s="8" t="n">
        <f aca="false">IF(ISNUMBER(F415),ROUND(F415,0),"")</f>
        <v>100</v>
      </c>
      <c r="W415" s="8" t="n">
        <f aca="false">IF(ISNUMBER(J415),ROUND(J415,0),"")</f>
        <v>100</v>
      </c>
      <c r="X415" s="8" t="str">
        <f aca="false">IF(ISNUMBER(N415),ROUND(N415,0),"")</f>
        <v/>
      </c>
      <c r="Y415" s="4" t="str">
        <f aca="false">IF(AND($A415=$A416,V415=100,V416=100),"full access","")</f>
        <v/>
      </c>
      <c r="Z415" s="4" t="str">
        <f aca="false">IF(AND($A415=$A416,W415=100,W416=100),"full access","")</f>
        <v/>
      </c>
      <c r="AA415" s="4" t="str">
        <f aca="false">IF(AND($A415=$A416,X415=100,X416=100),"full access","")</f>
        <v/>
      </c>
      <c r="AB415" s="9" t="str">
        <f aca="false">IF(AND(ISNUMBER(T415),ISNUMBER(U415)),T415-U415,"")</f>
        <v/>
      </c>
    </row>
    <row r="416" customFormat="false" ht="15" hidden="false" customHeight="false" outlineLevel="0" collapsed="false">
      <c r="A416" s="10" t="s">
        <v>290</v>
      </c>
      <c r="B416" s="10" t="str">
        <f aca="false">IFERROR(INDEX('Region Lookup'!$B$2:$B$233,MATCH(A416,'Region Lookup'!$A$2:$A$233,0)),"Not found")</f>
        <v>East Asia &amp; Pacific</v>
      </c>
      <c r="C416" s="10" t="n">
        <v>2015</v>
      </c>
      <c r="D416" s="11" t="n">
        <v>100.7799988</v>
      </c>
      <c r="E416" s="12" t="n">
        <v>23.27499962</v>
      </c>
      <c r="F416" s="12" t="n">
        <v>98.54970535</v>
      </c>
      <c r="G416" s="12" t="n">
        <v>0.8789821223</v>
      </c>
      <c r="H416" s="12" t="n">
        <v>0.5713125286</v>
      </c>
      <c r="I416" s="12" t="n">
        <v>0</v>
      </c>
      <c r="J416" s="12" t="n">
        <v>98.39304823</v>
      </c>
      <c r="K416" s="12" t="n">
        <v>1.102319124</v>
      </c>
      <c r="L416" s="12" t="n">
        <v>0.5046326475</v>
      </c>
      <c r="M416" s="12" t="n">
        <v>0</v>
      </c>
      <c r="N416" s="12" t="n">
        <v>99.06611056</v>
      </c>
      <c r="O416" s="12" t="n">
        <v>0.142761567</v>
      </c>
      <c r="P416" s="12" t="n">
        <v>0.7911278728</v>
      </c>
      <c r="Q416" s="12" t="n">
        <v>0</v>
      </c>
      <c r="R416" s="13" t="n">
        <f aca="false">IF($A416=$A417,$C417-$C416,"")</f>
        <v>5</v>
      </c>
      <c r="S416" s="14" t="n">
        <f aca="false">IF(AND($A416=$A417,ISNUMBER(F416),ISNUMBER(F417)),(F417-F416)/($C417-$C416),"")</f>
        <v>0.036275096</v>
      </c>
      <c r="T416" s="14" t="n">
        <f aca="false">IF(AND($A416=$A417,ISNUMBER(J416),ISNUMBER(J417)),(J417-J416)/($C417-$C416),"")</f>
        <v>0.0150060619999977</v>
      </c>
      <c r="U416" s="14" t="n">
        <f aca="false">IF(AND($A416=$A417,ISNUMBER(N416),ISNUMBER(N417)),(N417-N416)/($C417-$C416),"")</f>
        <v>0.108109526000001</v>
      </c>
      <c r="V416" s="13" t="n">
        <f aca="false">IF(ISNUMBER(F416),ROUND(F416,0),"")</f>
        <v>99</v>
      </c>
      <c r="W416" s="13" t="n">
        <f aca="false">IF(ISNUMBER(J416),ROUND(J416,0),"")</f>
        <v>98</v>
      </c>
      <c r="X416" s="13" t="n">
        <f aca="false">IF(ISNUMBER(N416),ROUND(N416,0),"")</f>
        <v>99</v>
      </c>
      <c r="Y416" s="10" t="str">
        <f aca="false">IF(AND($A416=$A417,V416=100,V417=100),"full access","")</f>
        <v/>
      </c>
      <c r="Z416" s="10" t="str">
        <f aca="false">IF(AND($A416=$A417,W416=100,W417=100),"full access","")</f>
        <v/>
      </c>
      <c r="AA416" s="10" t="str">
        <f aca="false">IF(AND($A416=$A417,X416=100,X417=100),"full access","")</f>
        <v/>
      </c>
      <c r="AB416" s="14" t="n">
        <f aca="false">IF(AND(ISNUMBER(T416),ISNUMBER(U416)),T416-U416,"")</f>
        <v>-0.0931034640000036</v>
      </c>
    </row>
    <row r="417" customFormat="false" ht="15" hidden="false" customHeight="false" outlineLevel="0" collapsed="false">
      <c r="A417" s="10" t="s">
        <v>290</v>
      </c>
      <c r="B417" s="10" t="str">
        <f aca="false">IFERROR(INDEX('Region Lookup'!$B$2:$B$233,MATCH(A417,'Region Lookup'!$A$2:$A$233,0)),"Not found")</f>
        <v>East Asia &amp; Pacific</v>
      </c>
      <c r="C417" s="10" t="n">
        <v>2020</v>
      </c>
      <c r="D417" s="11" t="n">
        <v>105.6969986</v>
      </c>
      <c r="E417" s="12" t="n">
        <v>23.09899902</v>
      </c>
      <c r="F417" s="12" t="n">
        <v>98.73108083</v>
      </c>
      <c r="G417" s="12" t="n">
        <v>0.8814972962</v>
      </c>
      <c r="H417" s="12" t="n">
        <v>0.3874218777</v>
      </c>
      <c r="I417" s="12" t="n">
        <v>0</v>
      </c>
      <c r="J417" s="12" t="n">
        <v>98.46807854</v>
      </c>
      <c r="K417" s="12" t="n">
        <v>1.103159706</v>
      </c>
      <c r="L417" s="12" t="n">
        <v>0.4287617551</v>
      </c>
      <c r="M417" s="12" t="n">
        <v>0</v>
      </c>
      <c r="N417" s="12" t="n">
        <v>99.60665819</v>
      </c>
      <c r="O417" s="12" t="n">
        <v>0.143540536</v>
      </c>
      <c r="P417" s="12" t="n">
        <v>0.2498012758</v>
      </c>
      <c r="Q417" s="12" t="n">
        <v>0</v>
      </c>
      <c r="R417" s="13" t="str">
        <f aca="false">IF($A417=$A418,$C418-$C417,"")</f>
        <v/>
      </c>
      <c r="S417" s="14" t="str">
        <f aca="false">IF(AND($A417=$A418,ISNUMBER(F417),ISNUMBER(F418)),(F418-F417)/($C418-$C417),"")</f>
        <v/>
      </c>
      <c r="T417" s="14" t="str">
        <f aca="false">IF(AND($A417=$A418,ISNUMBER(J417),ISNUMBER(J418)),(J418-J417)/($C418-$C417),"")</f>
        <v/>
      </c>
      <c r="U417" s="14" t="str">
        <f aca="false">IF(AND($A417=$A418,ISNUMBER(N417),ISNUMBER(N418)),(N418-N417)/($C418-$C417),"")</f>
        <v/>
      </c>
      <c r="V417" s="13" t="n">
        <f aca="false">IF(ISNUMBER(F417),ROUND(F417,0),"")</f>
        <v>99</v>
      </c>
      <c r="W417" s="13" t="n">
        <f aca="false">IF(ISNUMBER(J417),ROUND(J417,0),"")</f>
        <v>98</v>
      </c>
      <c r="X417" s="13" t="n">
        <f aca="false">IF(ISNUMBER(N417),ROUND(N417,0),"")</f>
        <v>100</v>
      </c>
      <c r="Y417" s="10" t="str">
        <f aca="false">IF(AND($A417=$A418,V417=100,V418=100),"full access","")</f>
        <v/>
      </c>
      <c r="Z417" s="10" t="str">
        <f aca="false">IF(AND($A417=$A418,W417=100,W418=100),"full access","")</f>
        <v/>
      </c>
      <c r="AA417" s="10" t="str">
        <f aca="false">IF(AND($A417=$A418,X417=100,X418=100),"full access","")</f>
        <v/>
      </c>
      <c r="AB417" s="14" t="str">
        <f aca="false">IF(AND(ISNUMBER(T417),ISNUMBER(U417)),T417-U417,"")</f>
        <v/>
      </c>
    </row>
    <row r="418" customFormat="false" ht="15" hidden="false" customHeight="false" outlineLevel="0" collapsed="false">
      <c r="A418" s="4" t="s">
        <v>291</v>
      </c>
      <c r="B418" s="4" t="str">
        <f aca="false">IFERROR(INDEX('Region Lookup'!$B$2:$B$233,MATCH(A418,'Region Lookup'!$A$2:$A$233,0)),"Not found")</f>
        <v>Latin America &amp; Caribbean</v>
      </c>
      <c r="C418" s="4" t="n">
        <v>2015</v>
      </c>
      <c r="D418" s="6" t="n">
        <v>1370.332031</v>
      </c>
      <c r="E418" s="7" t="n">
        <v>53.31900024</v>
      </c>
      <c r="F418" s="7" t="n">
        <v>98.13617765</v>
      </c>
      <c r="G418" s="7" t="n">
        <v>1.116422256</v>
      </c>
      <c r="H418" s="7" t="n">
        <v>0.5692819234</v>
      </c>
      <c r="I418" s="7" t="n">
        <v>0.1781181726</v>
      </c>
      <c r="J418" s="7"/>
      <c r="K418" s="7"/>
      <c r="L418" s="7"/>
      <c r="M418" s="7"/>
      <c r="N418" s="7"/>
      <c r="O418" s="7"/>
      <c r="P418" s="7"/>
      <c r="Q418" s="7"/>
      <c r="R418" s="8" t="n">
        <f aca="false">IF($A418=$A419,$C419-$C418,"")</f>
        <v>5</v>
      </c>
      <c r="S418" s="9" t="n">
        <f aca="false">IF(AND($A418=$A419,ISNUMBER(F418),ISNUMBER(F419)),(F419-F418)/($C419-$C418),"")</f>
        <v>0.147798624000001</v>
      </c>
      <c r="T418" s="9" t="str">
        <f aca="false">IF(AND($A418=$A419,ISNUMBER(J418),ISNUMBER(J419)),(J419-J418)/($C419-$C418),"")</f>
        <v/>
      </c>
      <c r="U418" s="9" t="str">
        <f aca="false">IF(AND($A418=$A419,ISNUMBER(N418),ISNUMBER(N419)),(N419-N418)/($C419-$C418),"")</f>
        <v/>
      </c>
      <c r="V418" s="8" t="n">
        <f aca="false">IF(ISNUMBER(F418),ROUND(F418,0),"")</f>
        <v>98</v>
      </c>
      <c r="W418" s="8" t="str">
        <f aca="false">IF(ISNUMBER(J418),ROUND(J418,0),"")</f>
        <v/>
      </c>
      <c r="X418" s="8" t="str">
        <f aca="false">IF(ISNUMBER(N418),ROUND(N418,0),"")</f>
        <v/>
      </c>
      <c r="Y418" s="4" t="str">
        <f aca="false">IF(AND($A418=$A419,V418=100,V419=100),"full access","")</f>
        <v/>
      </c>
      <c r="Z418" s="4" t="str">
        <f aca="false">IF(AND($A418=$A419,W418=100,W419=100),"full access","")</f>
        <v/>
      </c>
      <c r="AA418" s="4" t="str">
        <f aca="false">IF(AND($A418=$A419,X418=100,X419=100),"full access","")</f>
        <v/>
      </c>
      <c r="AB418" s="9" t="str">
        <f aca="false">IF(AND(ISNUMBER(T418),ISNUMBER(U418)),T418-U418,"")</f>
        <v/>
      </c>
    </row>
    <row r="419" customFormat="false" ht="15" hidden="false" customHeight="false" outlineLevel="0" collapsed="false">
      <c r="A419" s="4" t="s">
        <v>291</v>
      </c>
      <c r="B419" s="4" t="str">
        <f aca="false">IFERROR(INDEX('Region Lookup'!$B$2:$B$233,MATCH(A419,'Region Lookup'!$A$2:$A$233,0)),"Not found")</f>
        <v>Latin America &amp; Caribbean</v>
      </c>
      <c r="C419" s="4" t="n">
        <v>2020</v>
      </c>
      <c r="D419" s="6" t="n">
        <v>1399.490967</v>
      </c>
      <c r="E419" s="7" t="n">
        <v>53.2140007</v>
      </c>
      <c r="F419" s="7" t="n">
        <v>98.87517077</v>
      </c>
      <c r="G419" s="7" t="n">
        <v>1.124829231</v>
      </c>
      <c r="H419" s="7" t="n">
        <v>0</v>
      </c>
      <c r="I419" s="7" t="n">
        <v>0</v>
      </c>
      <c r="J419" s="7"/>
      <c r="K419" s="7"/>
      <c r="L419" s="7"/>
      <c r="M419" s="7"/>
      <c r="N419" s="7"/>
      <c r="O419" s="7"/>
      <c r="P419" s="7"/>
      <c r="Q419" s="7"/>
      <c r="R419" s="8" t="str">
        <f aca="false">IF($A419=$A420,$C420-$C419,"")</f>
        <v/>
      </c>
      <c r="S419" s="9" t="str">
        <f aca="false">IF(AND($A419=$A420,ISNUMBER(F419),ISNUMBER(F420)),(F420-F419)/($C420-$C419),"")</f>
        <v/>
      </c>
      <c r="T419" s="9" t="str">
        <f aca="false">IF(AND($A419=$A420,ISNUMBER(J419),ISNUMBER(J420)),(J420-J419)/($C420-$C419),"")</f>
        <v/>
      </c>
      <c r="U419" s="9" t="str">
        <f aca="false">IF(AND($A419=$A420,ISNUMBER(N419),ISNUMBER(N420)),(N420-N419)/($C420-$C419),"")</f>
        <v/>
      </c>
      <c r="V419" s="8" t="n">
        <f aca="false">IF(ISNUMBER(F419),ROUND(F419,0),"")</f>
        <v>99</v>
      </c>
      <c r="W419" s="8" t="str">
        <f aca="false">IF(ISNUMBER(J419),ROUND(J419,0),"")</f>
        <v/>
      </c>
      <c r="X419" s="8" t="str">
        <f aca="false">IF(ISNUMBER(N419),ROUND(N419,0),"")</f>
        <v/>
      </c>
      <c r="Y419" s="4" t="str">
        <f aca="false">IF(AND($A419=$A420,V419=100,V420=100),"full access","")</f>
        <v/>
      </c>
      <c r="Z419" s="4" t="str">
        <f aca="false">IF(AND($A419=$A420,W419=100,W420=100),"full access","")</f>
        <v/>
      </c>
      <c r="AA419" s="4" t="str">
        <f aca="false">IF(AND($A419=$A420,X419=100,X420=100),"full access","")</f>
        <v/>
      </c>
      <c r="AB419" s="9" t="str">
        <f aca="false">IF(AND(ISNUMBER(T419),ISNUMBER(U419)),T419-U419,"")</f>
        <v/>
      </c>
    </row>
    <row r="420" customFormat="false" ht="15" hidden="false" customHeight="false" outlineLevel="0" collapsed="false">
      <c r="A420" s="10" t="s">
        <v>292</v>
      </c>
      <c r="B420" s="10" t="str">
        <f aca="false">IFERROR(INDEX('Region Lookup'!$B$2:$B$233,MATCH(A420,'Region Lookup'!$A$2:$A$233,0)),"Not found")</f>
        <v>Sub-Saharan Africa</v>
      </c>
      <c r="C420" s="10" t="n">
        <v>2015</v>
      </c>
      <c r="D420" s="11" t="n">
        <v>11179.95117</v>
      </c>
      <c r="E420" s="12" t="n">
        <v>68.05599976</v>
      </c>
      <c r="F420" s="12" t="n">
        <v>94.8454551</v>
      </c>
      <c r="G420" s="12" t="n">
        <v>2.900100393</v>
      </c>
      <c r="H420" s="12" t="n">
        <v>2.179103077</v>
      </c>
      <c r="I420" s="12" t="n">
        <v>0.07534142511</v>
      </c>
      <c r="J420" s="12" t="n">
        <v>85.59067297</v>
      </c>
      <c r="K420" s="12" t="n">
        <v>7.6364837</v>
      </c>
      <c r="L420" s="12" t="n">
        <v>6.53698864</v>
      </c>
      <c r="M420" s="12" t="n">
        <v>0.2358546907</v>
      </c>
      <c r="N420" s="12" t="n">
        <v>99.18944794</v>
      </c>
      <c r="O420" s="12" t="n">
        <v>0.6769453984</v>
      </c>
      <c r="P420" s="12" t="n">
        <v>0.1336066664</v>
      </c>
      <c r="Q420" s="12" t="n">
        <v>0</v>
      </c>
      <c r="R420" s="13" t="n">
        <f aca="false">IF($A420=$A421,$C421-$C420,"")</f>
        <v>5</v>
      </c>
      <c r="S420" s="14" t="n">
        <f aca="false">IF(AND($A420=$A421,ISNUMBER(F420),ISNUMBER(F421)),(F421-F420)/($C421-$C420),"")</f>
        <v>0.539570778000001</v>
      </c>
      <c r="T420" s="14" t="n">
        <f aca="false">IF(AND($A420=$A421,ISNUMBER(J420),ISNUMBER(J421)),(J421-J420)/($C421-$C420),"")</f>
        <v>1.669111792</v>
      </c>
      <c r="U420" s="14" t="n">
        <f aca="false">IF(AND($A420=$A421,ISNUMBER(N420),ISNUMBER(N421)),(N421-N420)/($C421-$C420),"")</f>
        <v>-0.0136500619999993</v>
      </c>
      <c r="V420" s="13" t="n">
        <f aca="false">IF(ISNUMBER(F420),ROUND(F420,0),"")</f>
        <v>95</v>
      </c>
      <c r="W420" s="13" t="n">
        <f aca="false">IF(ISNUMBER(J420),ROUND(J420,0),"")</f>
        <v>86</v>
      </c>
      <c r="X420" s="13" t="n">
        <f aca="false">IF(ISNUMBER(N420),ROUND(N420,0),"")</f>
        <v>99</v>
      </c>
      <c r="Y420" s="10" t="str">
        <f aca="false">IF(AND($A420=$A421,V420=100,V421=100),"full access","")</f>
        <v/>
      </c>
      <c r="Z420" s="10" t="str">
        <f aca="false">IF(AND($A420=$A421,W420=100,W421=100),"full access","")</f>
        <v/>
      </c>
      <c r="AA420" s="10" t="str">
        <f aca="false">IF(AND($A420=$A421,X420=100,X421=100),"full access","")</f>
        <v/>
      </c>
      <c r="AB420" s="14" t="n">
        <f aca="false">IF(AND(ISNUMBER(T420),ISNUMBER(U420)),T420-U420,"")</f>
        <v>1.682761854</v>
      </c>
    </row>
    <row r="421" customFormat="false" ht="15" hidden="false" customHeight="false" outlineLevel="0" collapsed="false">
      <c r="A421" s="10" t="s">
        <v>292</v>
      </c>
      <c r="B421" s="10" t="str">
        <f aca="false">IFERROR(INDEX('Region Lookup'!$B$2:$B$233,MATCH(A421,'Region Lookup'!$A$2:$A$233,0)),"Not found")</f>
        <v>Sub-Saharan Africa</v>
      </c>
      <c r="C421" s="10" t="n">
        <v>2020</v>
      </c>
      <c r="D421" s="11" t="n">
        <v>11818.61816</v>
      </c>
      <c r="E421" s="12" t="n">
        <v>69.56800079</v>
      </c>
      <c r="F421" s="12" t="n">
        <v>97.54330899</v>
      </c>
      <c r="G421" s="12" t="n">
        <v>1.63135067</v>
      </c>
      <c r="H421" s="12" t="n">
        <v>0.8253403378</v>
      </c>
      <c r="I421" s="12" t="n">
        <v>0</v>
      </c>
      <c r="J421" s="12" t="n">
        <v>93.93623193</v>
      </c>
      <c r="K421" s="12" t="n">
        <v>3.351687357</v>
      </c>
      <c r="L421" s="12" t="n">
        <v>2.71208071</v>
      </c>
      <c r="M421" s="12" t="n">
        <v>0</v>
      </c>
      <c r="N421" s="12" t="n">
        <v>99.12119763</v>
      </c>
      <c r="O421" s="12" t="n">
        <v>0.8788023684</v>
      </c>
      <c r="P421" s="12" t="n">
        <v>0</v>
      </c>
      <c r="Q421" s="12" t="n">
        <v>0</v>
      </c>
      <c r="R421" s="13" t="str">
        <f aca="false">IF($A421=$A422,$C422-$C421,"")</f>
        <v/>
      </c>
      <c r="S421" s="14" t="str">
        <f aca="false">IF(AND($A421=$A422,ISNUMBER(F421),ISNUMBER(F422)),(F422-F421)/($C422-$C421),"")</f>
        <v/>
      </c>
      <c r="T421" s="14" t="str">
        <f aca="false">IF(AND($A421=$A422,ISNUMBER(J421),ISNUMBER(J422)),(J422-J421)/($C422-$C421),"")</f>
        <v/>
      </c>
      <c r="U421" s="14" t="str">
        <f aca="false">IF(AND($A421=$A422,ISNUMBER(N421),ISNUMBER(N422)),(N422-N421)/($C422-$C421),"")</f>
        <v/>
      </c>
      <c r="V421" s="13" t="n">
        <f aca="false">IF(ISNUMBER(F421),ROUND(F421,0),"")</f>
        <v>98</v>
      </c>
      <c r="W421" s="13" t="n">
        <f aca="false">IF(ISNUMBER(J421),ROUND(J421,0),"")</f>
        <v>94</v>
      </c>
      <c r="X421" s="13" t="n">
        <f aca="false">IF(ISNUMBER(N421),ROUND(N421,0),"")</f>
        <v>99</v>
      </c>
      <c r="Y421" s="10" t="str">
        <f aca="false">IF(AND($A421=$A422,V421=100,V422=100),"full access","")</f>
        <v/>
      </c>
      <c r="Z421" s="10" t="str">
        <f aca="false">IF(AND($A421=$A422,W421=100,W422=100),"full access","")</f>
        <v/>
      </c>
      <c r="AA421" s="10" t="str">
        <f aca="false">IF(AND($A421=$A422,X421=100,X422=100),"full access","")</f>
        <v/>
      </c>
      <c r="AB421" s="14" t="str">
        <f aca="false">IF(AND(ISNUMBER(T421),ISNUMBER(U421)),T421-U421,"")</f>
        <v/>
      </c>
    </row>
    <row r="422" customFormat="false" ht="15" hidden="false" customHeight="false" outlineLevel="0" collapsed="false">
      <c r="A422" s="4" t="s">
        <v>293</v>
      </c>
      <c r="B422" s="4" t="str">
        <f aca="false">IFERROR(INDEX('Region Lookup'!$B$2:$B$233,MATCH(A422,'Region Lookup'!$A$2:$A$233,0)),"Not found")</f>
        <v>Europe &amp; Central Asia</v>
      </c>
      <c r="C422" s="4" t="n">
        <v>2015</v>
      </c>
      <c r="D422" s="6" t="n">
        <v>78529.41406</v>
      </c>
      <c r="E422" s="7" t="n">
        <v>73.61100006</v>
      </c>
      <c r="F422" s="7" t="n">
        <v>96.25615912</v>
      </c>
      <c r="G422" s="7" t="n">
        <v>2.026747602</v>
      </c>
      <c r="H422" s="7" t="n">
        <v>1.518870713</v>
      </c>
      <c r="I422" s="7" t="n">
        <v>0.1982225671</v>
      </c>
      <c r="J422" s="7" t="n">
        <v>94.20388299</v>
      </c>
      <c r="K422" s="7" t="n">
        <v>2.633656944</v>
      </c>
      <c r="L422" s="7" t="n">
        <v>2.740460064</v>
      </c>
      <c r="M422" s="7" t="n">
        <v>0.422</v>
      </c>
      <c r="N422" s="7" t="n">
        <v>96.99188504</v>
      </c>
      <c r="O422" s="7" t="n">
        <v>1.809175058</v>
      </c>
      <c r="P422" s="7" t="n">
        <v>1.080939898</v>
      </c>
      <c r="Q422" s="7" t="n">
        <v>0.118</v>
      </c>
      <c r="R422" s="8" t="n">
        <f aca="false">IF($A422=$A423,$C423-$C422,"")</f>
        <v>5</v>
      </c>
      <c r="S422" s="9" t="n">
        <f aca="false">IF(AND($A422=$A423,ISNUMBER(F422),ISNUMBER(F423)),(F423-F422)/($C423-$C422),"")</f>
        <v>0.151622007999998</v>
      </c>
      <c r="T422" s="9" t="n">
        <f aca="false">IF(AND($A422=$A423,ISNUMBER(J422),ISNUMBER(J423)),(J423-J422)/($C423-$C422),"")</f>
        <v>0.364257356000002</v>
      </c>
      <c r="U422" s="9" t="n">
        <f aca="false">IF(AND($A422=$A423,ISNUMBER(N422),ISNUMBER(N423)),(N423-N422)/($C423-$C422),"")</f>
        <v>0.0665865580000002</v>
      </c>
      <c r="V422" s="8" t="n">
        <f aca="false">IF(ISNUMBER(F422),ROUND(F422,0),"")</f>
        <v>96</v>
      </c>
      <c r="W422" s="8" t="n">
        <f aca="false">IF(ISNUMBER(J422),ROUND(J422,0),"")</f>
        <v>94</v>
      </c>
      <c r="X422" s="8" t="n">
        <f aca="false">IF(ISNUMBER(N422),ROUND(N422,0),"")</f>
        <v>97</v>
      </c>
      <c r="Y422" s="4" t="str">
        <f aca="false">IF(AND($A422=$A423,V422=100,V423=100),"full access","")</f>
        <v/>
      </c>
      <c r="Z422" s="4" t="str">
        <f aca="false">IF(AND($A422=$A423,W422=100,W423=100),"full access","")</f>
        <v/>
      </c>
      <c r="AA422" s="4" t="str">
        <f aca="false">IF(AND($A422=$A423,X422=100,X423=100),"full access","")</f>
        <v/>
      </c>
      <c r="AB422" s="9" t="n">
        <f aca="false">IF(AND(ISNUMBER(T422),ISNUMBER(U422)),T422-U422,"")</f>
        <v>0.297670798000001</v>
      </c>
    </row>
    <row r="423" customFormat="false" ht="15" hidden="false" customHeight="false" outlineLevel="0" collapsed="false">
      <c r="A423" s="4" t="s">
        <v>293</v>
      </c>
      <c r="B423" s="4" t="str">
        <f aca="false">IFERROR(INDEX('Region Lookup'!$B$2:$B$233,MATCH(A423,'Region Lookup'!$A$2:$A$233,0)),"Not found")</f>
        <v>Europe &amp; Central Asia</v>
      </c>
      <c r="C423" s="4" t="n">
        <v>2020</v>
      </c>
      <c r="D423" s="6" t="n">
        <v>84339.07031</v>
      </c>
      <c r="E423" s="7" t="n">
        <v>76.10500336</v>
      </c>
      <c r="F423" s="7" t="n">
        <v>97.01426916</v>
      </c>
      <c r="G423" s="7" t="n">
        <v>2.023078075</v>
      </c>
      <c r="H423" s="7" t="n">
        <v>0.7376749545</v>
      </c>
      <c r="I423" s="7" t="n">
        <v>0.2249778093</v>
      </c>
      <c r="J423" s="7" t="n">
        <v>96.02516977</v>
      </c>
      <c r="K423" s="7" t="n">
        <v>2.684574639</v>
      </c>
      <c r="L423" s="7" t="n">
        <v>0.7882555911</v>
      </c>
      <c r="M423" s="7" t="n">
        <v>0.502</v>
      </c>
      <c r="N423" s="7" t="n">
        <v>97.32481783</v>
      </c>
      <c r="O423" s="7" t="n">
        <v>1.815385203</v>
      </c>
      <c r="P423" s="7" t="n">
        <v>0.7217969634</v>
      </c>
      <c r="Q423" s="7" t="n">
        <v>0.138</v>
      </c>
      <c r="R423" s="8" t="str">
        <f aca="false">IF($A423=$A424,$C424-$C423,"")</f>
        <v/>
      </c>
      <c r="S423" s="9" t="str">
        <f aca="false">IF(AND($A423=$A424,ISNUMBER(F423),ISNUMBER(F424)),(F424-F423)/($C424-$C423),"")</f>
        <v/>
      </c>
      <c r="T423" s="9" t="str">
        <f aca="false">IF(AND($A423=$A424,ISNUMBER(J423),ISNUMBER(J424)),(J424-J423)/($C424-$C423),"")</f>
        <v/>
      </c>
      <c r="U423" s="9" t="str">
        <f aca="false">IF(AND($A423=$A424,ISNUMBER(N423),ISNUMBER(N424)),(N424-N423)/($C424-$C423),"")</f>
        <v/>
      </c>
      <c r="V423" s="8" t="n">
        <f aca="false">IF(ISNUMBER(F423),ROUND(F423,0),"")</f>
        <v>97</v>
      </c>
      <c r="W423" s="8" t="n">
        <f aca="false">IF(ISNUMBER(J423),ROUND(J423,0),"")</f>
        <v>96</v>
      </c>
      <c r="X423" s="8" t="n">
        <f aca="false">IF(ISNUMBER(N423),ROUND(N423,0),"")</f>
        <v>97</v>
      </c>
      <c r="Y423" s="4" t="str">
        <f aca="false">IF(AND($A423=$A424,V423=100,V424=100),"full access","")</f>
        <v/>
      </c>
      <c r="Z423" s="4" t="str">
        <f aca="false">IF(AND($A423=$A424,W423=100,W424=100),"full access","")</f>
        <v/>
      </c>
      <c r="AA423" s="4" t="str">
        <f aca="false">IF(AND($A423=$A424,X423=100,X424=100),"full access","")</f>
        <v/>
      </c>
      <c r="AB423" s="9" t="str">
        <f aca="false">IF(AND(ISNUMBER(T423),ISNUMBER(U423)),T423-U423,"")</f>
        <v/>
      </c>
    </row>
    <row r="424" customFormat="false" ht="15" hidden="false" customHeight="false" outlineLevel="0" collapsed="false">
      <c r="A424" s="10" t="s">
        <v>294</v>
      </c>
      <c r="B424" s="10" t="str">
        <f aca="false">IFERROR(INDEX('Region Lookup'!$B$2:$B$233,MATCH(A424,'Region Lookup'!$A$2:$A$233,0)),"Not found")</f>
        <v>Europe &amp; Central Asia</v>
      </c>
      <c r="C424" s="10" t="n">
        <v>2015</v>
      </c>
      <c r="D424" s="11" t="n">
        <v>5565.283203</v>
      </c>
      <c r="E424" s="12" t="n">
        <v>50.31700134</v>
      </c>
      <c r="F424" s="12" t="n">
        <v>97.65894431</v>
      </c>
      <c r="G424" s="12" t="n">
        <v>0.9479150547</v>
      </c>
      <c r="H424" s="12" t="n">
        <v>0.247750032</v>
      </c>
      <c r="I424" s="12" t="n">
        <v>1.145390606</v>
      </c>
      <c r="J424" s="12" t="n">
        <v>96.21978316</v>
      </c>
      <c r="K424" s="12" t="n">
        <v>1.000954429</v>
      </c>
      <c r="L424" s="12" t="n">
        <v>0.473864865</v>
      </c>
      <c r="M424" s="12" t="n">
        <v>2.305397551</v>
      </c>
      <c r="N424" s="12" t="n">
        <v>99.07997172</v>
      </c>
      <c r="O424" s="12" t="n">
        <v>0.895543988</v>
      </c>
      <c r="P424" s="12" t="n">
        <v>0.0244842949</v>
      </c>
      <c r="Q424" s="12" t="n">
        <v>0</v>
      </c>
      <c r="R424" s="13" t="n">
        <f aca="false">IF($A424=$A425,$C425-$C424,"")</f>
        <v>5</v>
      </c>
      <c r="S424" s="14" t="n">
        <f aca="false">IF(AND($A424=$A425,ISNUMBER(F424),ISNUMBER(F425)),(F425-F424)/($C425-$C424),"")</f>
        <v>0.468211138000001</v>
      </c>
      <c r="T424" s="14" t="n">
        <f aca="false">IF(AND($A424=$A425,ISNUMBER(J424),ISNUMBER(J425)),(J425-J424)/($C425-$C424),"")</f>
        <v>0.756043367999999</v>
      </c>
      <c r="U424" s="14" t="n">
        <f aca="false">IF(AND($A424=$A425,ISNUMBER(N424),ISNUMBER(N425)),(N425-N424)/($C425-$C424),"")</f>
        <v>0.184005655999999</v>
      </c>
      <c r="V424" s="13" t="n">
        <f aca="false">IF(ISNUMBER(F424),ROUND(F424,0),"")</f>
        <v>98</v>
      </c>
      <c r="W424" s="13" t="n">
        <f aca="false">IF(ISNUMBER(J424),ROUND(J424,0),"")</f>
        <v>96</v>
      </c>
      <c r="X424" s="13" t="n">
        <f aca="false">IF(ISNUMBER(N424),ROUND(N424,0),"")</f>
        <v>99</v>
      </c>
      <c r="Y424" s="10" t="str">
        <f aca="false">IF(AND($A424=$A425,V424=100,V425=100),"full access","")</f>
        <v/>
      </c>
      <c r="Z424" s="10" t="str">
        <f aca="false">IF(AND($A424=$A425,W424=100,W425=100),"full access","")</f>
        <v/>
      </c>
      <c r="AA424" s="10" t="str">
        <f aca="false">IF(AND($A424=$A425,X424=100,X425=100),"full access","")</f>
        <v/>
      </c>
      <c r="AB424" s="14" t="n">
        <f aca="false">IF(AND(ISNUMBER(T424),ISNUMBER(U424)),T424-U424,"")</f>
        <v>0.572037712</v>
      </c>
    </row>
    <row r="425" customFormat="false" ht="15" hidden="false" customHeight="false" outlineLevel="0" collapsed="false">
      <c r="A425" s="10" t="s">
        <v>294</v>
      </c>
      <c r="B425" s="10" t="str">
        <f aca="false">IFERROR(INDEX('Region Lookup'!$B$2:$B$233,MATCH(A425,'Region Lookup'!$A$2:$A$233,0)),"Not found")</f>
        <v>Europe &amp; Central Asia</v>
      </c>
      <c r="C425" s="10" t="n">
        <v>2020</v>
      </c>
      <c r="D425" s="11" t="n">
        <v>6031.187012</v>
      </c>
      <c r="E425" s="12" t="n">
        <v>52.51600266</v>
      </c>
      <c r="F425" s="12" t="n">
        <v>100</v>
      </c>
      <c r="G425" s="12" t="n">
        <v>0</v>
      </c>
      <c r="H425" s="12" t="n">
        <v>0</v>
      </c>
      <c r="I425" s="12" t="n">
        <v>0</v>
      </c>
      <c r="J425" s="12" t="n">
        <v>100</v>
      </c>
      <c r="K425" s="12" t="n">
        <v>0</v>
      </c>
      <c r="L425" s="12" t="n">
        <v>0</v>
      </c>
      <c r="M425" s="12" t="n">
        <v>0</v>
      </c>
      <c r="N425" s="12" t="n">
        <v>100</v>
      </c>
      <c r="O425" s="12" t="n">
        <v>0</v>
      </c>
      <c r="P425" s="12" t="n">
        <v>0</v>
      </c>
      <c r="Q425" s="12" t="n">
        <v>0</v>
      </c>
      <c r="R425" s="13" t="str">
        <f aca="false">IF($A425=$A426,$C426-$C425,"")</f>
        <v/>
      </c>
      <c r="S425" s="14" t="str">
        <f aca="false">IF(AND($A425=$A426,ISNUMBER(F425),ISNUMBER(F426)),(F426-F425)/($C426-$C425),"")</f>
        <v/>
      </c>
      <c r="T425" s="14" t="str">
        <f aca="false">IF(AND($A425=$A426,ISNUMBER(J425),ISNUMBER(J426)),(J426-J425)/($C426-$C425),"")</f>
        <v/>
      </c>
      <c r="U425" s="14" t="str">
        <f aca="false">IF(AND($A425=$A426,ISNUMBER(N425),ISNUMBER(N426)),(N426-N425)/($C426-$C425),"")</f>
        <v/>
      </c>
      <c r="V425" s="13" t="n">
        <f aca="false">IF(ISNUMBER(F425),ROUND(F425,0),"")</f>
        <v>100</v>
      </c>
      <c r="W425" s="13" t="n">
        <f aca="false">IF(ISNUMBER(J425),ROUND(J425,0),"")</f>
        <v>100</v>
      </c>
      <c r="X425" s="13" t="n">
        <f aca="false">IF(ISNUMBER(N425),ROUND(N425,0),"")</f>
        <v>100</v>
      </c>
      <c r="Y425" s="10" t="str">
        <f aca="false">IF(AND($A425=$A426,V425=100,V426=100),"full access","")</f>
        <v/>
      </c>
      <c r="Z425" s="10" t="str">
        <f aca="false">IF(AND($A425=$A426,W425=100,W426=100),"full access","")</f>
        <v/>
      </c>
      <c r="AA425" s="10" t="str">
        <f aca="false">IF(AND($A425=$A426,X425=100,X426=100),"full access","")</f>
        <v/>
      </c>
      <c r="AB425" s="14" t="str">
        <f aca="false">IF(AND(ISNUMBER(T425),ISNUMBER(U425)),T425-U425,"")</f>
        <v/>
      </c>
    </row>
    <row r="426" customFormat="false" ht="15" hidden="false" customHeight="false" outlineLevel="0" collapsed="false">
      <c r="A426" s="4" t="s">
        <v>295</v>
      </c>
      <c r="B426" s="4" t="str">
        <f aca="false">IFERROR(INDEX('Region Lookup'!$B$2:$B$233,MATCH(A426,'Region Lookup'!$A$2:$A$233,0)),"Not found")</f>
        <v>Latin America &amp; Caribbean</v>
      </c>
      <c r="C426" s="4" t="n">
        <v>2015</v>
      </c>
      <c r="D426" s="6" t="n">
        <v>35.97900009</v>
      </c>
      <c r="E426" s="7" t="n">
        <v>92.19499207</v>
      </c>
      <c r="F426" s="7" t="n">
        <v>94.31818182</v>
      </c>
      <c r="G426" s="7" t="n">
        <v>0</v>
      </c>
      <c r="H426" s="7" t="n">
        <v>5.681818182</v>
      </c>
      <c r="I426" s="7" t="n">
        <v>0</v>
      </c>
      <c r="J426" s="7"/>
      <c r="K426" s="7"/>
      <c r="L426" s="7"/>
      <c r="M426" s="7"/>
      <c r="N426" s="7"/>
      <c r="O426" s="7"/>
      <c r="P426" s="7"/>
      <c r="Q426" s="7"/>
      <c r="R426" s="8" t="n">
        <f aca="false">IF($A426=$A427,$C427-$C426,"")</f>
        <v>3</v>
      </c>
      <c r="S426" s="9" t="n">
        <f aca="false">IF(AND($A426=$A427,ISNUMBER(F426),ISNUMBER(F427)),(F427-F426)/($C427-$C426),"")</f>
        <v>0</v>
      </c>
      <c r="T426" s="9" t="str">
        <f aca="false">IF(AND($A426=$A427,ISNUMBER(J426),ISNUMBER(J427)),(J427-J426)/($C427-$C426),"")</f>
        <v/>
      </c>
      <c r="U426" s="9" t="str">
        <f aca="false">IF(AND($A426=$A427,ISNUMBER(N426),ISNUMBER(N427)),(N427-N426)/($C427-$C426),"")</f>
        <v/>
      </c>
      <c r="V426" s="8" t="n">
        <f aca="false">IF(ISNUMBER(F426),ROUND(F426,0),"")</f>
        <v>94</v>
      </c>
      <c r="W426" s="8" t="str">
        <f aca="false">IF(ISNUMBER(J426),ROUND(J426,0),"")</f>
        <v/>
      </c>
      <c r="X426" s="8" t="str">
        <f aca="false">IF(ISNUMBER(N426),ROUND(N426,0),"")</f>
        <v/>
      </c>
      <c r="Y426" s="4" t="str">
        <f aca="false">IF(AND($A426=$A427,V426=100,V427=100),"full access","")</f>
        <v/>
      </c>
      <c r="Z426" s="4" t="str">
        <f aca="false">IF(AND($A426=$A427,W426=100,W427=100),"full access","")</f>
        <v/>
      </c>
      <c r="AA426" s="4" t="str">
        <f aca="false">IF(AND($A426=$A427,X426=100,X427=100),"full access","")</f>
        <v/>
      </c>
      <c r="AB426" s="9" t="str">
        <f aca="false">IF(AND(ISNUMBER(T426),ISNUMBER(U426)),T426-U426,"")</f>
        <v/>
      </c>
    </row>
    <row r="427" customFormat="false" ht="15" hidden="false" customHeight="false" outlineLevel="0" collapsed="false">
      <c r="A427" s="4" t="s">
        <v>295</v>
      </c>
      <c r="B427" s="4" t="str">
        <f aca="false">IFERROR(INDEX('Region Lookup'!$B$2:$B$233,MATCH(A427,'Region Lookup'!$A$2:$A$233,0)),"Not found")</f>
        <v>Latin America &amp; Caribbean</v>
      </c>
      <c r="C427" s="4" t="n">
        <v>2018</v>
      </c>
      <c r="D427" s="6" t="n">
        <v>37.66699982</v>
      </c>
      <c r="E427" s="7" t="n">
        <v>93.09799957</v>
      </c>
      <c r="F427" s="7" t="n">
        <v>94.31818182</v>
      </c>
      <c r="G427" s="7" t="n">
        <v>0</v>
      </c>
      <c r="H427" s="7" t="n">
        <v>5.681818182</v>
      </c>
      <c r="I427" s="7" t="n">
        <v>0</v>
      </c>
      <c r="J427" s="7"/>
      <c r="K427" s="7"/>
      <c r="L427" s="7"/>
      <c r="M427" s="7"/>
      <c r="N427" s="7"/>
      <c r="O427" s="7"/>
      <c r="P427" s="7"/>
      <c r="Q427" s="7"/>
      <c r="R427" s="8" t="str">
        <f aca="false">IF($A427=$A428,$C428-$C427,"")</f>
        <v/>
      </c>
      <c r="S427" s="9" t="str">
        <f aca="false">IF(AND($A427=$A428,ISNUMBER(F427),ISNUMBER(F428)),(F428-F427)/($C428-$C427),"")</f>
        <v/>
      </c>
      <c r="T427" s="9" t="str">
        <f aca="false">IF(AND($A427=$A428,ISNUMBER(J427),ISNUMBER(J428)),(J428-J427)/($C428-$C427),"")</f>
        <v/>
      </c>
      <c r="U427" s="9" t="str">
        <f aca="false">IF(AND($A427=$A428,ISNUMBER(N427),ISNUMBER(N428)),(N428-N427)/($C428-$C427),"")</f>
        <v/>
      </c>
      <c r="V427" s="8" t="n">
        <f aca="false">IF(ISNUMBER(F427),ROUND(F427,0),"")</f>
        <v>94</v>
      </c>
      <c r="W427" s="8" t="str">
        <f aca="false">IF(ISNUMBER(J427),ROUND(J427,0),"")</f>
        <v/>
      </c>
      <c r="X427" s="8" t="str">
        <f aca="false">IF(ISNUMBER(N427),ROUND(N427,0),"")</f>
        <v/>
      </c>
      <c r="Y427" s="4" t="str">
        <f aca="false">IF(AND($A427=$A428,V427=100,V428=100),"full access","")</f>
        <v/>
      </c>
      <c r="Z427" s="4" t="str">
        <f aca="false">IF(AND($A427=$A428,W427=100,W428=100),"full access","")</f>
        <v/>
      </c>
      <c r="AA427" s="4" t="str">
        <f aca="false">IF(AND($A427=$A428,X427=100,X428=100),"full access","")</f>
        <v/>
      </c>
      <c r="AB427" s="9" t="str">
        <f aca="false">IF(AND(ISNUMBER(T427),ISNUMBER(U427)),T427-U427,"")</f>
        <v/>
      </c>
    </row>
    <row r="428" customFormat="false" ht="15" hidden="false" customHeight="false" outlineLevel="0" collapsed="false">
      <c r="A428" s="10" t="s">
        <v>296</v>
      </c>
      <c r="B428" s="10" t="str">
        <f aca="false">IFERROR(INDEX('Region Lookup'!$B$2:$B$233,MATCH(A428,'Region Lookup'!$A$2:$A$233,0)),"Not found")</f>
        <v>East Asia &amp; Pacific</v>
      </c>
      <c r="C428" s="10" t="n">
        <v>2015</v>
      </c>
      <c r="D428" s="11" t="n">
        <v>11.09899998</v>
      </c>
      <c r="E428" s="12" t="n">
        <v>59.72999954</v>
      </c>
      <c r="F428" s="12" t="n">
        <v>100</v>
      </c>
      <c r="G428" s="12" t="n">
        <v>0</v>
      </c>
      <c r="H428" s="12" t="n">
        <v>0</v>
      </c>
      <c r="I428" s="12" t="n">
        <v>0</v>
      </c>
      <c r="J428" s="12" t="n">
        <v>100</v>
      </c>
      <c r="K428" s="12" t="n">
        <v>0</v>
      </c>
      <c r="L428" s="12" t="n">
        <v>0</v>
      </c>
      <c r="M428" s="12" t="n">
        <v>0</v>
      </c>
      <c r="N428" s="12" t="n">
        <v>100</v>
      </c>
      <c r="O428" s="12" t="n">
        <v>0</v>
      </c>
      <c r="P428" s="12" t="n">
        <v>0</v>
      </c>
      <c r="Q428" s="12" t="n">
        <v>0</v>
      </c>
      <c r="R428" s="13" t="n">
        <f aca="false">IF($A428=$A429,$C429-$C428,"")</f>
        <v>5</v>
      </c>
      <c r="S428" s="14" t="n">
        <f aca="false">IF(AND($A428=$A429,ISNUMBER(F428),ISNUMBER(F429)),(F429-F428)/($C429-$C428),"")</f>
        <v>0</v>
      </c>
      <c r="T428" s="14" t="n">
        <f aca="false">IF(AND($A428=$A429,ISNUMBER(J428),ISNUMBER(J429)),(J429-J428)/($C429-$C428),"")</f>
        <v>0</v>
      </c>
      <c r="U428" s="14" t="n">
        <f aca="false">IF(AND($A428=$A429,ISNUMBER(N428),ISNUMBER(N429)),(N429-N428)/($C429-$C428),"")</f>
        <v>0</v>
      </c>
      <c r="V428" s="13" t="n">
        <f aca="false">IF(ISNUMBER(F428),ROUND(F428,0),"")</f>
        <v>100</v>
      </c>
      <c r="W428" s="13" t="n">
        <f aca="false">IF(ISNUMBER(J428),ROUND(J428,0),"")</f>
        <v>100</v>
      </c>
      <c r="X428" s="13" t="n">
        <f aca="false">IF(ISNUMBER(N428),ROUND(N428,0),"")</f>
        <v>100</v>
      </c>
      <c r="Y428" s="10" t="str">
        <f aca="false">IF(AND($A428=$A429,V428=100,V429=100),"full access","")</f>
        <v>full access</v>
      </c>
      <c r="Z428" s="10" t="str">
        <f aca="false">IF(AND($A428=$A429,W428=100,W429=100),"full access","")</f>
        <v>full access</v>
      </c>
      <c r="AA428" s="10" t="str">
        <f aca="false">IF(AND($A428=$A429,X428=100,X429=100),"full access","")</f>
        <v>full access</v>
      </c>
      <c r="AB428" s="14" t="n">
        <f aca="false">IF(AND(ISNUMBER(T428),ISNUMBER(U428)),T428-U428,"")</f>
        <v>0</v>
      </c>
    </row>
    <row r="429" customFormat="false" ht="15" hidden="false" customHeight="false" outlineLevel="0" collapsed="false">
      <c r="A429" s="10" t="s">
        <v>296</v>
      </c>
      <c r="B429" s="10" t="str">
        <f aca="false">IFERROR(INDEX('Region Lookup'!$B$2:$B$233,MATCH(A429,'Region Lookup'!$A$2:$A$233,0)),"Not found")</f>
        <v>East Asia &amp; Pacific</v>
      </c>
      <c r="C429" s="10" t="n">
        <v>2020</v>
      </c>
      <c r="D429" s="11" t="n">
        <v>11.79199982</v>
      </c>
      <c r="E429" s="12" t="n">
        <v>64.01399994</v>
      </c>
      <c r="F429" s="12" t="n">
        <v>100</v>
      </c>
      <c r="G429" s="12" t="n">
        <v>0</v>
      </c>
      <c r="H429" s="12" t="n">
        <v>0</v>
      </c>
      <c r="I429" s="12" t="n">
        <v>0</v>
      </c>
      <c r="J429" s="12" t="n">
        <v>100</v>
      </c>
      <c r="K429" s="12" t="n">
        <v>0</v>
      </c>
      <c r="L429" s="12" t="n">
        <v>0</v>
      </c>
      <c r="M429" s="12" t="n">
        <v>0</v>
      </c>
      <c r="N429" s="12" t="n">
        <v>100</v>
      </c>
      <c r="O429" s="12" t="n">
        <v>0</v>
      </c>
      <c r="P429" s="12" t="n">
        <v>0</v>
      </c>
      <c r="Q429" s="12" t="n">
        <v>0</v>
      </c>
      <c r="R429" s="13" t="str">
        <f aca="false">IF($A429=$A430,$C430-$C429,"")</f>
        <v/>
      </c>
      <c r="S429" s="14" t="str">
        <f aca="false">IF(AND($A429=$A430,ISNUMBER(F429),ISNUMBER(F430)),(F430-F429)/($C430-$C429),"")</f>
        <v/>
      </c>
      <c r="T429" s="14" t="str">
        <f aca="false">IF(AND($A429=$A430,ISNUMBER(J429),ISNUMBER(J430)),(J430-J429)/($C430-$C429),"")</f>
        <v/>
      </c>
      <c r="U429" s="14" t="str">
        <f aca="false">IF(AND($A429=$A430,ISNUMBER(N429),ISNUMBER(N430)),(N430-N429)/($C430-$C429),"")</f>
        <v/>
      </c>
      <c r="V429" s="13" t="n">
        <f aca="false">IF(ISNUMBER(F429),ROUND(F429,0),"")</f>
        <v>100</v>
      </c>
      <c r="W429" s="13" t="n">
        <f aca="false">IF(ISNUMBER(J429),ROUND(J429,0),"")</f>
        <v>100</v>
      </c>
      <c r="X429" s="13" t="n">
        <f aca="false">IF(ISNUMBER(N429),ROUND(N429,0),"")</f>
        <v>100</v>
      </c>
      <c r="Y429" s="10" t="str">
        <f aca="false">IF(AND($A429=$A430,V429=100,V430=100),"full access","")</f>
        <v/>
      </c>
      <c r="Z429" s="10" t="str">
        <f aca="false">IF(AND($A429=$A430,W429=100,W430=100),"full access","")</f>
        <v/>
      </c>
      <c r="AA429" s="10" t="str">
        <f aca="false">IF(AND($A429=$A430,X429=100,X430=100),"full access","")</f>
        <v/>
      </c>
      <c r="AB429" s="14" t="str">
        <f aca="false">IF(AND(ISNUMBER(T429),ISNUMBER(U429)),T429-U429,"")</f>
        <v/>
      </c>
    </row>
    <row r="430" customFormat="false" ht="15" hidden="false" customHeight="false" outlineLevel="0" collapsed="false">
      <c r="A430" s="4" t="s">
        <v>297</v>
      </c>
      <c r="B430" s="4" t="str">
        <f aca="false">IFERROR(INDEX('Region Lookup'!$B$2:$B$233,MATCH(A430,'Region Lookup'!$A$2:$A$233,0)),"Not found")</f>
        <v>Sub-Saharan Africa</v>
      </c>
      <c r="C430" s="4" t="n">
        <v>2015</v>
      </c>
      <c r="D430" s="6" t="n">
        <v>38225.44531</v>
      </c>
      <c r="E430" s="7" t="n">
        <v>22.05999947</v>
      </c>
      <c r="F430" s="7" t="n">
        <v>47.84155836</v>
      </c>
      <c r="G430" s="7" t="n">
        <v>30.09540377</v>
      </c>
      <c r="H430" s="7" t="n">
        <v>15.10676845</v>
      </c>
      <c r="I430" s="7" t="n">
        <v>6.95626942</v>
      </c>
      <c r="J430" s="7" t="n">
        <v>39.71700313</v>
      </c>
      <c r="K430" s="7" t="n">
        <v>34.1765633</v>
      </c>
      <c r="L430" s="7" t="n">
        <v>17.51911722</v>
      </c>
      <c r="M430" s="7" t="n">
        <v>8.587316348</v>
      </c>
      <c r="N430" s="7" t="n">
        <v>76.54635609</v>
      </c>
      <c r="O430" s="7" t="n">
        <v>15.67629339</v>
      </c>
      <c r="P430" s="7" t="n">
        <v>6.58371928</v>
      </c>
      <c r="Q430" s="7" t="n">
        <v>1.193631242</v>
      </c>
      <c r="R430" s="8" t="n">
        <f aca="false">IF($A430=$A431,$C431-$C430,"")</f>
        <v>5</v>
      </c>
      <c r="S430" s="9" t="n">
        <f aca="false">IF(AND($A430=$A431,ISNUMBER(F430),ISNUMBER(F431)),(F431-F430)/($C431-$C430),"")</f>
        <v>1.60269817</v>
      </c>
      <c r="T430" s="9" t="n">
        <f aca="false">IF(AND($A430=$A431,ISNUMBER(J430),ISNUMBER(J431)),(J431-J430)/($C431-$C430),"")</f>
        <v>1.70283729</v>
      </c>
      <c r="U430" s="9" t="n">
        <f aca="false">IF(AND($A430=$A431,ISNUMBER(N430),ISNUMBER(N431)),(N431-N430)/($C431-$C430),"")</f>
        <v>0.447299142</v>
      </c>
      <c r="V430" s="8" t="n">
        <f aca="false">IF(ISNUMBER(F430),ROUND(F430,0),"")</f>
        <v>48</v>
      </c>
      <c r="W430" s="8" t="n">
        <f aca="false">IF(ISNUMBER(J430),ROUND(J430,0),"")</f>
        <v>40</v>
      </c>
      <c r="X430" s="8" t="n">
        <f aca="false">IF(ISNUMBER(N430),ROUND(N430,0),"")</f>
        <v>77</v>
      </c>
      <c r="Y430" s="4" t="str">
        <f aca="false">IF(AND($A430=$A431,V430=100,V431=100),"full access","")</f>
        <v/>
      </c>
      <c r="Z430" s="4" t="str">
        <f aca="false">IF(AND($A430=$A431,W430=100,W431=100),"full access","")</f>
        <v/>
      </c>
      <c r="AA430" s="4" t="str">
        <f aca="false">IF(AND($A430=$A431,X430=100,X431=100),"full access","")</f>
        <v/>
      </c>
      <c r="AB430" s="9" t="n">
        <f aca="false">IF(AND(ISNUMBER(T430),ISNUMBER(U430)),T430-U430,"")</f>
        <v>1.255538148</v>
      </c>
    </row>
    <row r="431" customFormat="false" ht="15" hidden="false" customHeight="false" outlineLevel="0" collapsed="false">
      <c r="A431" s="4" t="s">
        <v>297</v>
      </c>
      <c r="B431" s="4" t="str">
        <f aca="false">IFERROR(INDEX('Region Lookup'!$B$2:$B$233,MATCH(A431,'Region Lookup'!$A$2:$A$233,0)),"Not found")</f>
        <v>Sub-Saharan Africa</v>
      </c>
      <c r="C431" s="4" t="n">
        <v>2020</v>
      </c>
      <c r="D431" s="6" t="n">
        <v>45741</v>
      </c>
      <c r="E431" s="7" t="n">
        <v>24.95400047</v>
      </c>
      <c r="F431" s="7" t="n">
        <v>55.85504921</v>
      </c>
      <c r="G431" s="7" t="n">
        <v>27.28286</v>
      </c>
      <c r="H431" s="7" t="n">
        <v>12.16590654</v>
      </c>
      <c r="I431" s="7" t="n">
        <v>4.696184252</v>
      </c>
      <c r="J431" s="7" t="n">
        <v>48.23118958</v>
      </c>
      <c r="K431" s="7" t="n">
        <v>31.78469426</v>
      </c>
      <c r="L431" s="7" t="n">
        <v>14.07616061</v>
      </c>
      <c r="M431" s="7" t="n">
        <v>5.907955546</v>
      </c>
      <c r="N431" s="7" t="n">
        <v>78.7828518</v>
      </c>
      <c r="O431" s="7" t="n">
        <v>13.74416783</v>
      </c>
      <c r="P431" s="7" t="n">
        <v>6.421044133</v>
      </c>
      <c r="Q431" s="7" t="n">
        <v>1.051936238</v>
      </c>
      <c r="R431" s="8" t="str">
        <f aca="false">IF($A431=$A432,$C432-$C431,"")</f>
        <v/>
      </c>
      <c r="S431" s="9" t="str">
        <f aca="false">IF(AND($A431=$A432,ISNUMBER(F431),ISNUMBER(F432)),(F432-F431)/($C432-$C431),"")</f>
        <v/>
      </c>
      <c r="T431" s="9" t="str">
        <f aca="false">IF(AND($A431=$A432,ISNUMBER(J431),ISNUMBER(J432)),(J432-J431)/($C432-$C431),"")</f>
        <v/>
      </c>
      <c r="U431" s="9" t="str">
        <f aca="false">IF(AND($A431=$A432,ISNUMBER(N431),ISNUMBER(N432)),(N432-N431)/($C432-$C431),"")</f>
        <v/>
      </c>
      <c r="V431" s="8" t="n">
        <f aca="false">IF(ISNUMBER(F431),ROUND(F431,0),"")</f>
        <v>56</v>
      </c>
      <c r="W431" s="8" t="n">
        <f aca="false">IF(ISNUMBER(J431),ROUND(J431,0),"")</f>
        <v>48</v>
      </c>
      <c r="X431" s="8" t="n">
        <f aca="false">IF(ISNUMBER(N431),ROUND(N431,0),"")</f>
        <v>79</v>
      </c>
      <c r="Y431" s="4" t="str">
        <f aca="false">IF(AND($A431=$A432,V431=100,V432=100),"full access","")</f>
        <v/>
      </c>
      <c r="Z431" s="4" t="str">
        <f aca="false">IF(AND($A431=$A432,W431=100,W432=100),"full access","")</f>
        <v/>
      </c>
      <c r="AA431" s="4" t="str">
        <f aca="false">IF(AND($A431=$A432,X431=100,X432=100),"full access","")</f>
        <v/>
      </c>
      <c r="AB431" s="9" t="str">
        <f aca="false">IF(AND(ISNUMBER(T431),ISNUMBER(U431)),T431-U431,"")</f>
        <v/>
      </c>
    </row>
    <row r="432" customFormat="false" ht="15" hidden="false" customHeight="false" outlineLevel="0" collapsed="false">
      <c r="A432" s="10" t="s">
        <v>298</v>
      </c>
      <c r="B432" s="10" t="str">
        <f aca="false">IFERROR(INDEX('Region Lookup'!$B$2:$B$233,MATCH(A432,'Region Lookup'!$A$2:$A$233,0)),"Not found")</f>
        <v>Europe &amp; Central Asia</v>
      </c>
      <c r="C432" s="10" t="n">
        <v>2015</v>
      </c>
      <c r="D432" s="11" t="n">
        <v>44921.63672</v>
      </c>
      <c r="E432" s="12" t="n">
        <v>69.06100464</v>
      </c>
      <c r="F432" s="12" t="n">
        <v>93.65690669</v>
      </c>
      <c r="G432" s="12" t="n">
        <v>5.630873723</v>
      </c>
      <c r="H432" s="12" t="n">
        <v>0.4364563488</v>
      </c>
      <c r="I432" s="12" t="n">
        <v>0.2757632395</v>
      </c>
      <c r="J432" s="12" t="n">
        <v>98.84311161</v>
      </c>
      <c r="K432" s="12" t="n">
        <v>0</v>
      </c>
      <c r="L432" s="12" t="n">
        <v>0.944405312</v>
      </c>
      <c r="M432" s="12" t="n">
        <v>0.2124830817</v>
      </c>
      <c r="N432" s="12" t="n">
        <v>91.33350853</v>
      </c>
      <c r="O432" s="12" t="n">
        <v>8.153478277</v>
      </c>
      <c r="P432" s="12" t="n">
        <v>0.2089007556</v>
      </c>
      <c r="Q432" s="12" t="n">
        <v>0.3041124414</v>
      </c>
      <c r="R432" s="13" t="n">
        <f aca="false">IF($A432=$A433,$C433-$C432,"")</f>
        <v>5</v>
      </c>
      <c r="S432" s="14" t="n">
        <f aca="false">IF(AND($A432=$A433,ISNUMBER(F432),ISNUMBER(F433)),(F433-F432)/($C433-$C432),"")</f>
        <v>0.0542750519999998</v>
      </c>
      <c r="T432" s="14" t="n">
        <f aca="false">IF(AND($A432=$A433,ISNUMBER(J432),ISNUMBER(J433)),(J433-J432)/($C433-$C432),"")</f>
        <v>0.231377678000001</v>
      </c>
      <c r="U432" s="14" t="n">
        <f aca="false">IF(AND($A432=$A433,ISNUMBER(N432),ISNUMBER(N433)),(N433-N432)/($C433-$C432),"")</f>
        <v>-0.0112476839999999</v>
      </c>
      <c r="V432" s="13" t="n">
        <f aca="false">IF(ISNUMBER(F432),ROUND(F432,0),"")</f>
        <v>94</v>
      </c>
      <c r="W432" s="13" t="n">
        <f aca="false">IF(ISNUMBER(J432),ROUND(J432,0),"")</f>
        <v>99</v>
      </c>
      <c r="X432" s="13" t="n">
        <f aca="false">IF(ISNUMBER(N432),ROUND(N432,0),"")</f>
        <v>91</v>
      </c>
      <c r="Y432" s="10" t="str">
        <f aca="false">IF(AND($A432=$A433,V432=100,V433=100),"full access","")</f>
        <v/>
      </c>
      <c r="Z432" s="10" t="str">
        <f aca="false">IF(AND($A432=$A433,W432=100,W433=100),"full access","")</f>
        <v/>
      </c>
      <c r="AA432" s="10" t="str">
        <f aca="false">IF(AND($A432=$A433,X432=100,X433=100),"full access","")</f>
        <v/>
      </c>
      <c r="AB432" s="14" t="n">
        <f aca="false">IF(AND(ISNUMBER(T432),ISNUMBER(U432)),T432-U432,"")</f>
        <v>0.242625362000001</v>
      </c>
    </row>
    <row r="433" customFormat="false" ht="15" hidden="false" customHeight="false" outlineLevel="0" collapsed="false">
      <c r="A433" s="10" t="s">
        <v>298</v>
      </c>
      <c r="B433" s="10" t="str">
        <f aca="false">IFERROR(INDEX('Region Lookup'!$B$2:$B$233,MATCH(A433,'Region Lookup'!$A$2:$A$233,0)),"Not found")</f>
        <v>Europe &amp; Central Asia</v>
      </c>
      <c r="C433" s="10" t="n">
        <v>2020</v>
      </c>
      <c r="D433" s="11" t="n">
        <v>43733.75781</v>
      </c>
      <c r="E433" s="12" t="n">
        <v>69.60800171</v>
      </c>
      <c r="F433" s="12" t="n">
        <v>93.92828195</v>
      </c>
      <c r="G433" s="12" t="n">
        <v>5.671978717</v>
      </c>
      <c r="H433" s="12" t="n">
        <v>0.07590450129</v>
      </c>
      <c r="I433" s="12" t="n">
        <v>0.323834836</v>
      </c>
      <c r="J433" s="12" t="n">
        <v>100</v>
      </c>
      <c r="K433" s="12" t="n">
        <v>0</v>
      </c>
      <c r="L433" s="12" t="n">
        <v>0</v>
      </c>
      <c r="M433" s="12" t="n">
        <v>0</v>
      </c>
      <c r="N433" s="12" t="n">
        <v>91.27727011</v>
      </c>
      <c r="O433" s="12" t="n">
        <v>8.14845779</v>
      </c>
      <c r="P433" s="12" t="n">
        <v>0.1090456533</v>
      </c>
      <c r="Q433" s="12" t="n">
        <v>0.4652264446</v>
      </c>
      <c r="R433" s="13" t="str">
        <f aca="false">IF($A433=$A434,$C434-$C433,"")</f>
        <v/>
      </c>
      <c r="S433" s="14" t="str">
        <f aca="false">IF(AND($A433=$A434,ISNUMBER(F433),ISNUMBER(F434)),(F434-F433)/($C434-$C433),"")</f>
        <v/>
      </c>
      <c r="T433" s="14" t="str">
        <f aca="false">IF(AND($A433=$A434,ISNUMBER(J433),ISNUMBER(J434)),(J434-J433)/($C434-$C433),"")</f>
        <v/>
      </c>
      <c r="U433" s="14" t="str">
        <f aca="false">IF(AND($A433=$A434,ISNUMBER(N433),ISNUMBER(N434)),(N434-N433)/($C434-$C433),"")</f>
        <v/>
      </c>
      <c r="V433" s="13" t="n">
        <f aca="false">IF(ISNUMBER(F433),ROUND(F433,0),"")</f>
        <v>94</v>
      </c>
      <c r="W433" s="13" t="n">
        <f aca="false">IF(ISNUMBER(J433),ROUND(J433,0),"")</f>
        <v>100</v>
      </c>
      <c r="X433" s="13" t="n">
        <f aca="false">IF(ISNUMBER(N433),ROUND(N433,0),"")</f>
        <v>91</v>
      </c>
      <c r="Y433" s="10" t="str">
        <f aca="false">IF(AND($A433=$A434,V433=100,V434=100),"full access","")</f>
        <v/>
      </c>
      <c r="Z433" s="10" t="str">
        <f aca="false">IF(AND($A433=$A434,W433=100,W434=100),"full access","")</f>
        <v/>
      </c>
      <c r="AA433" s="10" t="str">
        <f aca="false">IF(AND($A433=$A434,X433=100,X434=100),"full access","")</f>
        <v/>
      </c>
      <c r="AB433" s="14" t="str">
        <f aca="false">IF(AND(ISNUMBER(T433),ISNUMBER(U433)),T433-U433,"")</f>
        <v/>
      </c>
    </row>
    <row r="434" customFormat="false" ht="15" hidden="false" customHeight="false" outlineLevel="0" collapsed="false">
      <c r="A434" s="4" t="s">
        <v>299</v>
      </c>
      <c r="B434" s="4" t="str">
        <f aca="false">IFERROR(INDEX('Region Lookup'!$B$2:$B$233,MATCH(A434,'Region Lookup'!$A$2:$A$233,0)),"Not found")</f>
        <v>Europe &amp; Central Asia</v>
      </c>
      <c r="C434" s="4" t="n">
        <v>2015</v>
      </c>
      <c r="D434" s="6" t="n">
        <v>9262.896484</v>
      </c>
      <c r="E434" s="7" t="n">
        <v>85.6740036</v>
      </c>
      <c r="F434" s="7" t="n">
        <v>99.97133247</v>
      </c>
      <c r="G434" s="7" t="n">
        <v>0</v>
      </c>
      <c r="H434" s="7" t="n">
        <v>0.02866753431</v>
      </c>
      <c r="I434" s="7" t="n">
        <v>0</v>
      </c>
      <c r="J434" s="7"/>
      <c r="K434" s="7"/>
      <c r="L434" s="7"/>
      <c r="M434" s="7"/>
      <c r="N434" s="7"/>
      <c r="O434" s="7"/>
      <c r="P434" s="7"/>
      <c r="Q434" s="7"/>
      <c r="R434" s="8" t="n">
        <f aca="false">IF($A434=$A435,$C435-$C434,"")</f>
        <v>5</v>
      </c>
      <c r="S434" s="9" t="n">
        <f aca="false">IF(AND($A434=$A435,ISNUMBER(F434),ISNUMBER(F435)),(F435-F434)/($C435-$C434),"")</f>
        <v>-0.0011472939999976</v>
      </c>
      <c r="T434" s="9" t="str">
        <f aca="false">IF(AND($A434=$A435,ISNUMBER(J434),ISNUMBER(J435)),(J435-J434)/($C435-$C434),"")</f>
        <v/>
      </c>
      <c r="U434" s="9" t="str">
        <f aca="false">IF(AND($A434=$A435,ISNUMBER(N434),ISNUMBER(N435)),(N435-N434)/($C435-$C434),"")</f>
        <v/>
      </c>
      <c r="V434" s="8" t="n">
        <f aca="false">IF(ISNUMBER(F434),ROUND(F434,0),"")</f>
        <v>100</v>
      </c>
      <c r="W434" s="8" t="str">
        <f aca="false">IF(ISNUMBER(J434),ROUND(J434,0),"")</f>
        <v/>
      </c>
      <c r="X434" s="8" t="str">
        <f aca="false">IF(ISNUMBER(N434),ROUND(N434,0),"")</f>
        <v/>
      </c>
      <c r="Y434" s="4" t="str">
        <f aca="false">IF(AND($A434=$A435,V434=100,V435=100),"full access","")</f>
        <v>full access</v>
      </c>
      <c r="Z434" s="4" t="str">
        <f aca="false">IF(AND($A434=$A435,W434=100,W435=100),"full access","")</f>
        <v/>
      </c>
      <c r="AA434" s="4" t="str">
        <f aca="false">IF(AND($A434=$A435,X434=100,X435=100),"full access","")</f>
        <v/>
      </c>
      <c r="AB434" s="9" t="str">
        <f aca="false">IF(AND(ISNUMBER(T434),ISNUMBER(U434)),T434-U434,"")</f>
        <v/>
      </c>
    </row>
    <row r="435" customFormat="false" ht="15" hidden="false" customHeight="false" outlineLevel="0" collapsed="false">
      <c r="A435" s="4" t="s">
        <v>299</v>
      </c>
      <c r="B435" s="4" t="str">
        <f aca="false">IFERROR(INDEX('Region Lookup'!$B$2:$B$233,MATCH(A435,'Region Lookup'!$A$2:$A$233,0)),"Not found")</f>
        <v>Europe &amp; Central Asia</v>
      </c>
      <c r="C435" s="4" t="n">
        <v>2020</v>
      </c>
      <c r="D435" s="6" t="n">
        <v>9890.400391</v>
      </c>
      <c r="E435" s="7" t="n">
        <v>87.04799652</v>
      </c>
      <c r="F435" s="7" t="n">
        <v>99.965596</v>
      </c>
      <c r="G435" s="7" t="n">
        <v>0</v>
      </c>
      <c r="H435" s="7" t="n">
        <v>0.034404</v>
      </c>
      <c r="I435" s="7" t="n">
        <v>0</v>
      </c>
      <c r="J435" s="7"/>
      <c r="K435" s="7"/>
      <c r="L435" s="7"/>
      <c r="M435" s="7"/>
      <c r="N435" s="7"/>
      <c r="O435" s="7"/>
      <c r="P435" s="7"/>
      <c r="Q435" s="7"/>
      <c r="R435" s="8" t="str">
        <f aca="false">IF($A435=$A436,$C436-$C435,"")</f>
        <v/>
      </c>
      <c r="S435" s="9" t="str">
        <f aca="false">IF(AND($A435=$A436,ISNUMBER(F435),ISNUMBER(F436)),(F436-F435)/($C436-$C435),"")</f>
        <v/>
      </c>
      <c r="T435" s="9" t="str">
        <f aca="false">IF(AND($A435=$A436,ISNUMBER(J435),ISNUMBER(J436)),(J436-J435)/($C436-$C435),"")</f>
        <v/>
      </c>
      <c r="U435" s="9" t="str">
        <f aca="false">IF(AND($A435=$A436,ISNUMBER(N435),ISNUMBER(N436)),(N436-N435)/($C436-$C435),"")</f>
        <v/>
      </c>
      <c r="V435" s="8" t="n">
        <f aca="false">IF(ISNUMBER(F435),ROUND(F435,0),"")</f>
        <v>100</v>
      </c>
      <c r="W435" s="8" t="str">
        <f aca="false">IF(ISNUMBER(J435),ROUND(J435,0),"")</f>
        <v/>
      </c>
      <c r="X435" s="8" t="str">
        <f aca="false">IF(ISNUMBER(N435),ROUND(N435,0),"")</f>
        <v/>
      </c>
      <c r="Y435" s="4" t="str">
        <f aca="false">IF(AND($A435=$A436,V435=100,V436=100),"full access","")</f>
        <v/>
      </c>
      <c r="Z435" s="4" t="str">
        <f aca="false">IF(AND($A435=$A436,W435=100,W436=100),"full access","")</f>
        <v/>
      </c>
      <c r="AA435" s="4" t="str">
        <f aca="false">IF(AND($A435=$A436,X435=100,X436=100),"full access","")</f>
        <v/>
      </c>
      <c r="AB435" s="9" t="str">
        <f aca="false">IF(AND(ISNUMBER(T435),ISNUMBER(U435)),T435-U435,"")</f>
        <v/>
      </c>
    </row>
    <row r="436" customFormat="false" ht="15" hidden="false" customHeight="false" outlineLevel="0" collapsed="false">
      <c r="A436" s="10" t="s">
        <v>300</v>
      </c>
      <c r="B436" s="10" t="str">
        <f aca="false">IFERROR(INDEX('Region Lookup'!$B$2:$B$233,MATCH(A436,'Region Lookup'!$A$2:$A$233,0)),"Not found")</f>
        <v>Europe &amp; Central Asia</v>
      </c>
      <c r="C436" s="10" t="n">
        <v>2015</v>
      </c>
      <c r="D436" s="11" t="n">
        <v>65860.14844</v>
      </c>
      <c r="E436" s="12" t="n">
        <v>82.62599945</v>
      </c>
      <c r="F436" s="12" t="n">
        <v>100.0000015</v>
      </c>
      <c r="G436" s="12" t="n">
        <v>0</v>
      </c>
      <c r="H436" s="12" t="n">
        <v>0</v>
      </c>
      <c r="I436" s="12" t="n">
        <v>0</v>
      </c>
      <c r="J436" s="12" t="n">
        <v>100</v>
      </c>
      <c r="K436" s="12" t="n">
        <v>0</v>
      </c>
      <c r="L436" s="12" t="n">
        <v>0</v>
      </c>
      <c r="M436" s="12" t="n">
        <v>0</v>
      </c>
      <c r="N436" s="12" t="n">
        <v>100</v>
      </c>
      <c r="O436" s="12" t="n">
        <v>0</v>
      </c>
      <c r="P436" s="12" t="n">
        <v>0</v>
      </c>
      <c r="Q436" s="12" t="n">
        <v>0</v>
      </c>
      <c r="R436" s="13" t="n">
        <f aca="false">IF($A436=$A437,$C437-$C436,"")</f>
        <v>5</v>
      </c>
      <c r="S436" s="14" t="n">
        <f aca="false">IF(AND($A436=$A437,ISNUMBER(F436),ISNUMBER(F437)),(F437-F436)/($C437-$C436),"")</f>
        <v>-5.88000000334432E-007</v>
      </c>
      <c r="T436" s="14" t="n">
        <f aca="false">IF(AND($A436=$A437,ISNUMBER(J436),ISNUMBER(J437)),(J437-J436)/($C437-$C436),"")</f>
        <v>0</v>
      </c>
      <c r="U436" s="14" t="n">
        <f aca="false">IF(AND($A436=$A437,ISNUMBER(N436),ISNUMBER(N437)),(N437-N436)/($C437-$C436),"")</f>
        <v>0</v>
      </c>
      <c r="V436" s="13" t="n">
        <f aca="false">IF(ISNUMBER(F436),ROUND(F436,0),"")</f>
        <v>100</v>
      </c>
      <c r="W436" s="13" t="n">
        <f aca="false">IF(ISNUMBER(J436),ROUND(J436,0),"")</f>
        <v>100</v>
      </c>
      <c r="X436" s="13" t="n">
        <f aca="false">IF(ISNUMBER(N436),ROUND(N436,0),"")</f>
        <v>100</v>
      </c>
      <c r="Y436" s="10" t="str">
        <f aca="false">IF(AND($A436=$A437,V436=100,V437=100),"full access","")</f>
        <v>full access</v>
      </c>
      <c r="Z436" s="10" t="str">
        <f aca="false">IF(AND($A436=$A437,W436=100,W437=100),"full access","")</f>
        <v>full access</v>
      </c>
      <c r="AA436" s="10" t="str">
        <f aca="false">IF(AND($A436=$A437,X436=100,X437=100),"full access","")</f>
        <v>full access</v>
      </c>
      <c r="AB436" s="14" t="n">
        <f aca="false">IF(AND(ISNUMBER(T436),ISNUMBER(U436)),T436-U436,"")</f>
        <v>0</v>
      </c>
    </row>
    <row r="437" customFormat="false" ht="15" hidden="false" customHeight="false" outlineLevel="0" collapsed="false">
      <c r="A437" s="10" t="s">
        <v>300</v>
      </c>
      <c r="B437" s="10" t="str">
        <f aca="false">IFERROR(INDEX('Region Lookup'!$B$2:$B$233,MATCH(A437,'Region Lookup'!$A$2:$A$233,0)),"Not found")</f>
        <v>Europe &amp; Central Asia</v>
      </c>
      <c r="C437" s="10" t="n">
        <v>2020</v>
      </c>
      <c r="D437" s="11" t="n">
        <v>67886.00781</v>
      </c>
      <c r="E437" s="12" t="n">
        <v>83.90299988</v>
      </c>
      <c r="F437" s="12" t="n">
        <v>99.99999856</v>
      </c>
      <c r="G437" s="12" t="n">
        <v>0</v>
      </c>
      <c r="H437" s="12" t="n">
        <v>1.43853282E-006</v>
      </c>
      <c r="I437" s="12" t="n">
        <v>0</v>
      </c>
      <c r="J437" s="12" t="n">
        <v>100</v>
      </c>
      <c r="K437" s="12" t="n">
        <v>0</v>
      </c>
      <c r="L437" s="12" t="n">
        <v>0</v>
      </c>
      <c r="M437" s="12" t="n">
        <v>0</v>
      </c>
      <c r="N437" s="12" t="n">
        <v>100</v>
      </c>
      <c r="O437" s="12" t="n">
        <v>0</v>
      </c>
      <c r="P437" s="12" t="n">
        <v>0</v>
      </c>
      <c r="Q437" s="12" t="n">
        <v>0</v>
      </c>
      <c r="R437" s="13" t="str">
        <f aca="false">IF($A437=$A438,$C438-$C437,"")</f>
        <v/>
      </c>
      <c r="S437" s="14" t="str">
        <f aca="false">IF(AND($A437=$A438,ISNUMBER(F437),ISNUMBER(F438)),(F438-F437)/($C438-$C437),"")</f>
        <v/>
      </c>
      <c r="T437" s="14" t="str">
        <f aca="false">IF(AND($A437=$A438,ISNUMBER(J437),ISNUMBER(J438)),(J438-J437)/($C438-$C437),"")</f>
        <v/>
      </c>
      <c r="U437" s="14" t="str">
        <f aca="false">IF(AND($A437=$A438,ISNUMBER(N437),ISNUMBER(N438)),(N438-N437)/($C438-$C437),"")</f>
        <v/>
      </c>
      <c r="V437" s="13" t="n">
        <f aca="false">IF(ISNUMBER(F437),ROUND(F437,0),"")</f>
        <v>100</v>
      </c>
      <c r="W437" s="13" t="n">
        <f aca="false">IF(ISNUMBER(J437),ROUND(J437,0),"")</f>
        <v>100</v>
      </c>
      <c r="X437" s="13" t="n">
        <f aca="false">IF(ISNUMBER(N437),ROUND(N437,0),"")</f>
        <v>100</v>
      </c>
      <c r="Y437" s="10" t="str">
        <f aca="false">IF(AND($A437=$A438,V437=100,V438=100),"full access","")</f>
        <v/>
      </c>
      <c r="Z437" s="10" t="str">
        <f aca="false">IF(AND($A437=$A438,W437=100,W438=100),"full access","")</f>
        <v/>
      </c>
      <c r="AA437" s="10" t="str">
        <f aca="false">IF(AND($A437=$A438,X437=100,X438=100),"full access","")</f>
        <v/>
      </c>
      <c r="AB437" s="14" t="str">
        <f aca="false">IF(AND(ISNUMBER(T437),ISNUMBER(U437)),T437-U437,"")</f>
        <v/>
      </c>
    </row>
    <row r="438" customFormat="false" ht="15" hidden="false" customHeight="false" outlineLevel="0" collapsed="false">
      <c r="A438" s="4" t="s">
        <v>301</v>
      </c>
      <c r="B438" s="4" t="str">
        <f aca="false">IFERROR(INDEX('Region Lookup'!$B$2:$B$233,MATCH(A438,'Region Lookup'!$A$2:$A$233,0)),"Not found")</f>
        <v>Sub-Saharan Africa</v>
      </c>
      <c r="C438" s="4" t="n">
        <v>2015</v>
      </c>
      <c r="D438" s="6" t="n">
        <v>51482.63672</v>
      </c>
      <c r="E438" s="7" t="n">
        <v>31.61700058</v>
      </c>
      <c r="F438" s="7" t="n">
        <v>52.96379459</v>
      </c>
      <c r="G438" s="7" t="n">
        <v>11.30893693</v>
      </c>
      <c r="H438" s="7" t="n">
        <v>21.38524788</v>
      </c>
      <c r="I438" s="7" t="n">
        <v>14.3420206</v>
      </c>
      <c r="J438" s="7" t="n">
        <v>38.86342456</v>
      </c>
      <c r="K438" s="7" t="n">
        <v>13.19289824</v>
      </c>
      <c r="L438" s="7" t="n">
        <v>28.1932841</v>
      </c>
      <c r="M438" s="7" t="n">
        <v>19.75039311</v>
      </c>
      <c r="N438" s="7" t="n">
        <v>83.4608554</v>
      </c>
      <c r="O438" s="7" t="n">
        <v>7.234201128</v>
      </c>
      <c r="P438" s="7" t="n">
        <v>6.6604503</v>
      </c>
      <c r="Q438" s="7" t="n">
        <v>2.644493171</v>
      </c>
      <c r="R438" s="8" t="n">
        <f aca="false">IF($A438=$A439,$C439-$C438,"")</f>
        <v>5</v>
      </c>
      <c r="S438" s="9" t="n">
        <f aca="false">IF(AND($A438=$A439,ISNUMBER(F438),ISNUMBER(F439)),(F439-F438)/($C439-$C438),"")</f>
        <v>1.5506006</v>
      </c>
      <c r="T438" s="9" t="n">
        <f aca="false">IF(AND($A438=$A439,ISNUMBER(J438),ISNUMBER(J439)),(J439-J438)/($C439-$C438),"")</f>
        <v>1.316708156</v>
      </c>
      <c r="U438" s="9" t="n">
        <f aca="false">IF(AND($A438=$A439,ISNUMBER(N438),ISNUMBER(N439)),(N439-N438)/($C439-$C438),"")</f>
        <v>1.0666139</v>
      </c>
      <c r="V438" s="8" t="n">
        <f aca="false">IF(ISNUMBER(F438),ROUND(F438,0),"")</f>
        <v>53</v>
      </c>
      <c r="W438" s="8" t="n">
        <f aca="false">IF(ISNUMBER(J438),ROUND(J438,0),"")</f>
        <v>39</v>
      </c>
      <c r="X438" s="8" t="n">
        <f aca="false">IF(ISNUMBER(N438),ROUND(N438,0),"")</f>
        <v>83</v>
      </c>
      <c r="Y438" s="4" t="str">
        <f aca="false">IF(AND($A438=$A439,V438=100,V439=100),"full access","")</f>
        <v/>
      </c>
      <c r="Z438" s="4" t="str">
        <f aca="false">IF(AND($A438=$A439,W438=100,W439=100),"full access","")</f>
        <v/>
      </c>
      <c r="AA438" s="4" t="str">
        <f aca="false">IF(AND($A438=$A439,X438=100,X439=100),"full access","")</f>
        <v/>
      </c>
      <c r="AB438" s="9" t="n">
        <f aca="false">IF(AND(ISNUMBER(T438),ISNUMBER(U438)),T438-U438,"")</f>
        <v>0.250094256000001</v>
      </c>
    </row>
    <row r="439" customFormat="false" ht="15" hidden="false" customHeight="false" outlineLevel="0" collapsed="false">
      <c r="A439" s="4" t="s">
        <v>301</v>
      </c>
      <c r="B439" s="4" t="str">
        <f aca="false">IFERROR(INDEX('Region Lookup'!$B$2:$B$233,MATCH(A439,'Region Lookup'!$A$2:$A$233,0)),"Not found")</f>
        <v>Sub-Saharan Africa</v>
      </c>
      <c r="C439" s="4" t="n">
        <v>2020</v>
      </c>
      <c r="D439" s="6" t="n">
        <v>59734.21484</v>
      </c>
      <c r="E439" s="7" t="n">
        <v>35.22700119</v>
      </c>
      <c r="F439" s="7" t="n">
        <v>60.71679759</v>
      </c>
      <c r="G439" s="7" t="n">
        <v>11.29007067</v>
      </c>
      <c r="H439" s="7" t="n">
        <v>14.51775136</v>
      </c>
      <c r="I439" s="7" t="n">
        <v>13.47538038</v>
      </c>
      <c r="J439" s="7" t="n">
        <v>45.44696534</v>
      </c>
      <c r="K439" s="7" t="n">
        <v>13.98368881</v>
      </c>
      <c r="L439" s="7" t="n">
        <v>21.21996133</v>
      </c>
      <c r="M439" s="7" t="n">
        <v>19.34938452</v>
      </c>
      <c r="N439" s="7" t="n">
        <v>88.7939249</v>
      </c>
      <c r="O439" s="7" t="n">
        <v>6.337231166</v>
      </c>
      <c r="P439" s="7" t="n">
        <v>2.194178786</v>
      </c>
      <c r="Q439" s="7" t="n">
        <v>2.674665152</v>
      </c>
      <c r="R439" s="8" t="str">
        <f aca="false">IF($A439=$A440,$C440-$C439,"")</f>
        <v/>
      </c>
      <c r="S439" s="9" t="str">
        <f aca="false">IF(AND($A439=$A440,ISNUMBER(F439),ISNUMBER(F440)),(F440-F439)/($C440-$C439),"")</f>
        <v/>
      </c>
      <c r="T439" s="9" t="str">
        <f aca="false">IF(AND($A439=$A440,ISNUMBER(J439),ISNUMBER(J440)),(J440-J439)/($C440-$C439),"")</f>
        <v/>
      </c>
      <c r="U439" s="9" t="str">
        <f aca="false">IF(AND($A439=$A440,ISNUMBER(N439),ISNUMBER(N440)),(N440-N439)/($C440-$C439),"")</f>
        <v/>
      </c>
      <c r="V439" s="8" t="n">
        <f aca="false">IF(ISNUMBER(F439),ROUND(F439,0),"")</f>
        <v>61</v>
      </c>
      <c r="W439" s="8" t="n">
        <f aca="false">IF(ISNUMBER(J439),ROUND(J439,0),"")</f>
        <v>45</v>
      </c>
      <c r="X439" s="8" t="n">
        <f aca="false">IF(ISNUMBER(N439),ROUND(N439,0),"")</f>
        <v>89</v>
      </c>
      <c r="Y439" s="4" t="str">
        <f aca="false">IF(AND($A439=$A440,V439=100,V440=100),"full access","")</f>
        <v/>
      </c>
      <c r="Z439" s="4" t="str">
        <f aca="false">IF(AND($A439=$A440,W439=100,W440=100),"full access","")</f>
        <v/>
      </c>
      <c r="AA439" s="4" t="str">
        <f aca="false">IF(AND($A439=$A440,X439=100,X440=100),"full access","")</f>
        <v/>
      </c>
      <c r="AB439" s="9" t="str">
        <f aca="false">IF(AND(ISNUMBER(T439),ISNUMBER(U439)),T439-U439,"")</f>
        <v/>
      </c>
    </row>
    <row r="440" customFormat="false" ht="15" hidden="false" customHeight="false" outlineLevel="0" collapsed="false">
      <c r="A440" s="10" t="s">
        <v>302</v>
      </c>
      <c r="B440" s="10" t="str">
        <f aca="false">IFERROR(INDEX('Region Lookup'!$B$2:$B$233,MATCH(A440,'Region Lookup'!$A$2:$A$233,0)),"Not found")</f>
        <v>North America</v>
      </c>
      <c r="C440" s="10" t="n">
        <v>2015</v>
      </c>
      <c r="D440" s="11" t="n">
        <v>320878.3125</v>
      </c>
      <c r="E440" s="12" t="n">
        <v>81.67100525</v>
      </c>
      <c r="F440" s="12" t="n">
        <v>99.44715776</v>
      </c>
      <c r="G440" s="12" t="n">
        <v>0</v>
      </c>
      <c r="H440" s="12" t="n">
        <v>0.5528422372</v>
      </c>
      <c r="I440" s="12" t="n">
        <v>0</v>
      </c>
      <c r="J440" s="12" t="n">
        <v>97.78011851</v>
      </c>
      <c r="K440" s="12" t="n">
        <v>0</v>
      </c>
      <c r="L440" s="12" t="n">
        <v>2.219881485</v>
      </c>
      <c r="M440" s="12" t="n">
        <v>0</v>
      </c>
      <c r="N440" s="12" t="n">
        <v>99.82127981</v>
      </c>
      <c r="O440" s="12" t="n">
        <v>0</v>
      </c>
      <c r="P440" s="12" t="n">
        <v>0.1787201944</v>
      </c>
      <c r="Q440" s="12" t="n">
        <v>0</v>
      </c>
      <c r="R440" s="13" t="n">
        <f aca="false">IF($A440=$A441,$C441-$C440,"")</f>
        <v>5</v>
      </c>
      <c r="S440" s="14" t="n">
        <f aca="false">IF(AND($A440=$A441,ISNUMBER(F440),ISNUMBER(F441)),(F441-F440)/($C441-$C440),"")</f>
        <v>0.0872737840000013</v>
      </c>
      <c r="T440" s="14" t="n">
        <f aca="false">IF(AND($A440=$A441,ISNUMBER(J440),ISNUMBER(J441)),(J441-J440)/($C441-$C440),"")</f>
        <v>0.378133766000002</v>
      </c>
      <c r="U440" s="14" t="n">
        <f aca="false">IF(AND($A440=$A441,ISNUMBER(N440),ISNUMBER(N441)),(N441-N440)/($C441-$C440),"")</f>
        <v>0.0213729320000027</v>
      </c>
      <c r="V440" s="13" t="n">
        <f aca="false">IF(ISNUMBER(F440),ROUND(F440,0),"")</f>
        <v>99</v>
      </c>
      <c r="W440" s="13" t="n">
        <f aca="false">IF(ISNUMBER(J440),ROUND(J440,0),"")</f>
        <v>98</v>
      </c>
      <c r="X440" s="13" t="n">
        <f aca="false">IF(ISNUMBER(N440),ROUND(N440,0),"")</f>
        <v>100</v>
      </c>
      <c r="Y440" s="10" t="str">
        <f aca="false">IF(AND($A440=$A441,V440=100,V441=100),"full access","")</f>
        <v/>
      </c>
      <c r="Z440" s="10" t="str">
        <f aca="false">IF(AND($A440=$A441,W440=100,W441=100),"full access","")</f>
        <v/>
      </c>
      <c r="AA440" s="10" t="str">
        <f aca="false">IF(AND($A440=$A441,X440=100,X441=100),"full access","")</f>
        <v>full access</v>
      </c>
      <c r="AB440" s="14" t="n">
        <f aca="false">IF(AND(ISNUMBER(T440),ISNUMBER(U440)),T440-U440,"")</f>
        <v>0.356760833999999</v>
      </c>
    </row>
    <row r="441" customFormat="false" ht="15" hidden="false" customHeight="false" outlineLevel="0" collapsed="false">
      <c r="A441" s="10" t="s">
        <v>302</v>
      </c>
      <c r="B441" s="10" t="str">
        <f aca="false">IFERROR(INDEX('Region Lookup'!$B$2:$B$233,MATCH(A441,'Region Lookup'!$A$2:$A$233,0)),"Not found")</f>
        <v>North America</v>
      </c>
      <c r="C441" s="10" t="n">
        <v>2020</v>
      </c>
      <c r="D441" s="11" t="n">
        <v>331002.6563</v>
      </c>
      <c r="E441" s="12" t="n">
        <v>82.66400146</v>
      </c>
      <c r="F441" s="12" t="n">
        <v>99.88352668</v>
      </c>
      <c r="G441" s="12" t="n">
        <v>0</v>
      </c>
      <c r="H441" s="12" t="n">
        <v>0.1164733182</v>
      </c>
      <c r="I441" s="12" t="n">
        <v>0</v>
      </c>
      <c r="J441" s="12" t="n">
        <v>99.67078734</v>
      </c>
      <c r="K441" s="12" t="n">
        <v>0</v>
      </c>
      <c r="L441" s="12" t="n">
        <v>0.3292126628</v>
      </c>
      <c r="M441" s="12" t="n">
        <v>0</v>
      </c>
      <c r="N441" s="12" t="n">
        <v>99.92814447</v>
      </c>
      <c r="O441" s="12" t="n">
        <v>0</v>
      </c>
      <c r="P441" s="12" t="n">
        <v>0.0718555296</v>
      </c>
      <c r="Q441" s="12" t="n">
        <v>0</v>
      </c>
      <c r="R441" s="13" t="str">
        <f aca="false">IF($A441=$A442,$C442-$C441,"")</f>
        <v/>
      </c>
      <c r="S441" s="14" t="str">
        <f aca="false">IF(AND($A441=$A442,ISNUMBER(F441),ISNUMBER(F442)),(F442-F441)/($C442-$C441),"")</f>
        <v/>
      </c>
      <c r="T441" s="14" t="str">
        <f aca="false">IF(AND($A441=$A442,ISNUMBER(J441),ISNUMBER(J442)),(J442-J441)/($C442-$C441),"")</f>
        <v/>
      </c>
      <c r="U441" s="14" t="str">
        <f aca="false">IF(AND($A441=$A442,ISNUMBER(N441),ISNUMBER(N442)),(N442-N441)/($C442-$C441),"")</f>
        <v/>
      </c>
      <c r="V441" s="13" t="n">
        <f aca="false">IF(ISNUMBER(F441),ROUND(F441,0),"")</f>
        <v>100</v>
      </c>
      <c r="W441" s="13" t="n">
        <f aca="false">IF(ISNUMBER(J441),ROUND(J441,0),"")</f>
        <v>100</v>
      </c>
      <c r="X441" s="13" t="n">
        <f aca="false">IF(ISNUMBER(N441),ROUND(N441,0),"")</f>
        <v>100</v>
      </c>
      <c r="Y441" s="10" t="str">
        <f aca="false">IF(AND($A441=$A442,V441=100,V442=100),"full access","")</f>
        <v/>
      </c>
      <c r="Z441" s="10" t="str">
        <f aca="false">IF(AND($A441=$A442,W441=100,W442=100),"full access","")</f>
        <v/>
      </c>
      <c r="AA441" s="10" t="str">
        <f aca="false">IF(AND($A441=$A442,X441=100,X442=100),"full access","")</f>
        <v/>
      </c>
      <c r="AB441" s="14" t="str">
        <f aca="false">IF(AND(ISNUMBER(T441),ISNUMBER(U441)),T441-U441,"")</f>
        <v/>
      </c>
    </row>
    <row r="442" customFormat="false" ht="15" hidden="false" customHeight="false" outlineLevel="0" collapsed="false">
      <c r="A442" s="4" t="s">
        <v>303</v>
      </c>
      <c r="B442" s="4" t="str">
        <f aca="false">IFERROR(INDEX('Region Lookup'!$B$2:$B$233,MATCH(A442,'Region Lookup'!$A$2:$A$233,0)),"Not found")</f>
        <v>Latin America &amp; Caribbean</v>
      </c>
      <c r="C442" s="4" t="n">
        <v>2015</v>
      </c>
      <c r="D442" s="6" t="n">
        <v>104.9499969</v>
      </c>
      <c r="E442" s="7" t="n">
        <v>95.34999847</v>
      </c>
      <c r="F442" s="7" t="n">
        <v>98.71827281</v>
      </c>
      <c r="G442" s="7" t="n">
        <v>0</v>
      </c>
      <c r="H442" s="7" t="n">
        <v>1.281727186</v>
      </c>
      <c r="I442" s="7" t="n">
        <v>0</v>
      </c>
      <c r="J442" s="7"/>
      <c r="K442" s="7"/>
      <c r="L442" s="7"/>
      <c r="M442" s="7"/>
      <c r="N442" s="7"/>
      <c r="O442" s="7"/>
      <c r="P442" s="7"/>
      <c r="Q442" s="7"/>
      <c r="R442" s="8" t="n">
        <f aca="false">IF($A442=$A443,$C443-$C442,"")</f>
        <v>5</v>
      </c>
      <c r="S442" s="9" t="n">
        <f aca="false">IF(AND($A442=$A443,ISNUMBER(F442),ISNUMBER(F443)),(F443-F442)/($C443-$C442),"")</f>
        <v>-1.08600000032766E-006</v>
      </c>
      <c r="T442" s="9" t="str">
        <f aca="false">IF(AND($A442=$A443,ISNUMBER(J442),ISNUMBER(J443)),(J443-J442)/($C443-$C442),"")</f>
        <v/>
      </c>
      <c r="U442" s="9" t="str">
        <f aca="false">IF(AND($A442=$A443,ISNUMBER(N442),ISNUMBER(N443)),(N443-N442)/($C443-$C442),"")</f>
        <v/>
      </c>
      <c r="V442" s="8" t="n">
        <f aca="false">IF(ISNUMBER(F442),ROUND(F442,0),"")</f>
        <v>99</v>
      </c>
      <c r="W442" s="8" t="str">
        <f aca="false">IF(ISNUMBER(J442),ROUND(J442,0),"")</f>
        <v/>
      </c>
      <c r="X442" s="8" t="str">
        <f aca="false">IF(ISNUMBER(N442),ROUND(N442,0),"")</f>
        <v/>
      </c>
      <c r="Y442" s="4" t="str">
        <f aca="false">IF(AND($A442=$A443,V442=100,V443=100),"full access","")</f>
        <v/>
      </c>
      <c r="Z442" s="4" t="str">
        <f aca="false">IF(AND($A442=$A443,W442=100,W443=100),"full access","")</f>
        <v/>
      </c>
      <c r="AA442" s="4" t="str">
        <f aca="false">IF(AND($A442=$A443,X442=100,X443=100),"full access","")</f>
        <v/>
      </c>
      <c r="AB442" s="9" t="str">
        <f aca="false">IF(AND(ISNUMBER(T442),ISNUMBER(U442)),T442-U442,"")</f>
        <v/>
      </c>
    </row>
    <row r="443" customFormat="false" ht="15" hidden="false" customHeight="false" outlineLevel="0" collapsed="false">
      <c r="A443" s="4" t="s">
        <v>303</v>
      </c>
      <c r="B443" s="4" t="str">
        <f aca="false">IFERROR(INDEX('Region Lookup'!$B$2:$B$233,MATCH(A443,'Region Lookup'!$A$2:$A$233,0)),"Not found")</f>
        <v>Latin America &amp; Caribbean</v>
      </c>
      <c r="C443" s="4" t="n">
        <v>2020</v>
      </c>
      <c r="D443" s="6" t="n">
        <v>104.4229965</v>
      </c>
      <c r="E443" s="7" t="n">
        <v>95.93900299</v>
      </c>
      <c r="F443" s="7" t="n">
        <v>98.71826738</v>
      </c>
      <c r="G443" s="7" t="n">
        <v>0</v>
      </c>
      <c r="H443" s="7" t="n">
        <v>1.281732624</v>
      </c>
      <c r="I443" s="7" t="n">
        <v>0</v>
      </c>
      <c r="J443" s="7"/>
      <c r="K443" s="7"/>
      <c r="L443" s="7"/>
      <c r="M443" s="7"/>
      <c r="N443" s="7"/>
      <c r="O443" s="7"/>
      <c r="P443" s="7"/>
      <c r="Q443" s="7"/>
      <c r="R443" s="8" t="str">
        <f aca="false">IF($A443=$A444,$C444-$C443,"")</f>
        <v/>
      </c>
      <c r="S443" s="9" t="str">
        <f aca="false">IF(AND($A443=$A444,ISNUMBER(F443),ISNUMBER(F444)),(F444-F443)/($C444-$C443),"")</f>
        <v/>
      </c>
      <c r="T443" s="9" t="str">
        <f aca="false">IF(AND($A443=$A444,ISNUMBER(J443),ISNUMBER(J444)),(J444-J443)/($C444-$C443),"")</f>
        <v/>
      </c>
      <c r="U443" s="9" t="str">
        <f aca="false">IF(AND($A443=$A444,ISNUMBER(N443),ISNUMBER(N444)),(N444-N443)/($C444-$C443),"")</f>
        <v/>
      </c>
      <c r="V443" s="8" t="n">
        <f aca="false">IF(ISNUMBER(F443),ROUND(F443,0),"")</f>
        <v>99</v>
      </c>
      <c r="W443" s="8" t="str">
        <f aca="false">IF(ISNUMBER(J443),ROUND(J443,0),"")</f>
        <v/>
      </c>
      <c r="X443" s="8" t="str">
        <f aca="false">IF(ISNUMBER(N443),ROUND(N443,0),"")</f>
        <v/>
      </c>
      <c r="Y443" s="4" t="str">
        <f aca="false">IF(AND($A443=$A444,V443=100,V444=100),"full access","")</f>
        <v/>
      </c>
      <c r="Z443" s="4" t="str">
        <f aca="false">IF(AND($A443=$A444,W443=100,W444=100),"full access","")</f>
        <v/>
      </c>
      <c r="AA443" s="4" t="str">
        <f aca="false">IF(AND($A443=$A444,X443=100,X444=100),"full access","")</f>
        <v/>
      </c>
      <c r="AB443" s="9" t="str">
        <f aca="false">IF(AND(ISNUMBER(T443),ISNUMBER(U443)),T443-U443,"")</f>
        <v/>
      </c>
    </row>
    <row r="444" customFormat="false" ht="15" hidden="false" customHeight="false" outlineLevel="0" collapsed="false">
      <c r="A444" s="10" t="s">
        <v>304</v>
      </c>
      <c r="B444" s="10" t="str">
        <f aca="false">IFERROR(INDEX('Region Lookup'!$B$2:$B$233,MATCH(A444,'Region Lookup'!$A$2:$A$233,0)),"Not found")</f>
        <v>Latin America &amp; Caribbean</v>
      </c>
      <c r="C444" s="10" t="n">
        <v>2015</v>
      </c>
      <c r="D444" s="11" t="n">
        <v>3412.012939</v>
      </c>
      <c r="E444" s="12" t="n">
        <v>95.04499817</v>
      </c>
      <c r="F444" s="12" t="n">
        <v>99.13139756</v>
      </c>
      <c r="G444" s="12" t="n">
        <v>0.5381047353</v>
      </c>
      <c r="H444" s="12" t="n">
        <v>0.307497473</v>
      </c>
      <c r="I444" s="12" t="n">
        <v>0.02300023019</v>
      </c>
      <c r="J444" s="12" t="n">
        <v>91.49584384</v>
      </c>
      <c r="K444" s="12" t="n">
        <v>4.511550681</v>
      </c>
      <c r="L444" s="12" t="n">
        <v>3.528423211</v>
      </c>
      <c r="M444" s="12" t="n">
        <v>0.464182271</v>
      </c>
      <c r="N444" s="12" t="n">
        <v>99.52946198</v>
      </c>
      <c r="O444" s="12" t="n">
        <v>0.3309562908</v>
      </c>
      <c r="P444" s="12" t="n">
        <v>0.139581727</v>
      </c>
      <c r="Q444" s="12" t="n">
        <v>0</v>
      </c>
      <c r="R444" s="13" t="n">
        <f aca="false">IF($A444=$A445,$C445-$C444,"")</f>
        <v>5</v>
      </c>
      <c r="S444" s="14" t="n">
        <f aca="false">IF(AND($A444=$A445,ISNUMBER(F444),ISNUMBER(F445)),(F445-F444)/($C445-$C444),"")</f>
        <v>0.072872000000001</v>
      </c>
      <c r="T444" s="14" t="n">
        <f aca="false">IF(AND($A444=$A445,ISNUMBER(J444),ISNUMBER(J445)),(J445-J444)/($C445-$C444),"")</f>
        <v>0.760997232</v>
      </c>
      <c r="U444" s="14" t="n">
        <f aca="false">IF(AND($A444=$A445,ISNUMBER(N444),ISNUMBER(N445)),(N445-N444)/($C445-$C444),"")</f>
        <v>0.0326544920000004</v>
      </c>
      <c r="V444" s="13" t="n">
        <f aca="false">IF(ISNUMBER(F444),ROUND(F444,0),"")</f>
        <v>99</v>
      </c>
      <c r="W444" s="13" t="n">
        <f aca="false">IF(ISNUMBER(J444),ROUND(J444,0),"")</f>
        <v>91</v>
      </c>
      <c r="X444" s="13" t="n">
        <f aca="false">IF(ISNUMBER(N444),ROUND(N444,0),"")</f>
        <v>100</v>
      </c>
      <c r="Y444" s="10" t="str">
        <f aca="false">IF(AND($A444=$A445,V444=100,V445=100),"full access","")</f>
        <v/>
      </c>
      <c r="Z444" s="10" t="str">
        <f aca="false">IF(AND($A444=$A445,W444=100,W445=100),"full access","")</f>
        <v/>
      </c>
      <c r="AA444" s="10" t="str">
        <f aca="false">IF(AND($A444=$A445,X444=100,X445=100),"full access","")</f>
        <v>full access</v>
      </c>
      <c r="AB444" s="14" t="n">
        <f aca="false">IF(AND(ISNUMBER(T444),ISNUMBER(U444)),T444-U444,"")</f>
        <v>0.728342739999999</v>
      </c>
    </row>
    <row r="445" customFormat="false" ht="15" hidden="false" customHeight="false" outlineLevel="0" collapsed="false">
      <c r="A445" s="10" t="s">
        <v>304</v>
      </c>
      <c r="B445" s="10" t="str">
        <f aca="false">IFERROR(INDEX('Region Lookup'!$B$2:$B$233,MATCH(A445,'Region Lookup'!$A$2:$A$233,0)),"Not found")</f>
        <v>Latin America &amp; Caribbean</v>
      </c>
      <c r="C445" s="10" t="n">
        <v>2020</v>
      </c>
      <c r="D445" s="11" t="n">
        <v>3473.727051</v>
      </c>
      <c r="E445" s="12" t="n">
        <v>95.51499939</v>
      </c>
      <c r="F445" s="12" t="n">
        <v>99.49575756</v>
      </c>
      <c r="G445" s="12" t="n">
        <v>0.5042424412</v>
      </c>
      <c r="H445" s="12" t="n">
        <v>0</v>
      </c>
      <c r="I445" s="12" t="n">
        <v>0</v>
      </c>
      <c r="J445" s="12" t="n">
        <v>95.30083</v>
      </c>
      <c r="K445" s="12" t="n">
        <v>4.69917</v>
      </c>
      <c r="L445" s="12" t="n">
        <v>0</v>
      </c>
      <c r="M445" s="12" t="n">
        <v>0</v>
      </c>
      <c r="N445" s="12" t="n">
        <v>99.69273444</v>
      </c>
      <c r="O445" s="12" t="n">
        <v>0.3072655617</v>
      </c>
      <c r="P445" s="12" t="n">
        <v>0</v>
      </c>
      <c r="Q445" s="12" t="n">
        <v>0</v>
      </c>
      <c r="R445" s="13" t="str">
        <f aca="false">IF($A445=$A446,$C446-$C445,"")</f>
        <v/>
      </c>
      <c r="S445" s="14" t="str">
        <f aca="false">IF(AND($A445=$A446,ISNUMBER(F445),ISNUMBER(F446)),(F446-F445)/($C446-$C445),"")</f>
        <v/>
      </c>
      <c r="T445" s="14" t="str">
        <f aca="false">IF(AND($A445=$A446,ISNUMBER(J445),ISNUMBER(J446)),(J446-J445)/($C446-$C445),"")</f>
        <v/>
      </c>
      <c r="U445" s="14" t="str">
        <f aca="false">IF(AND($A445=$A446,ISNUMBER(N445),ISNUMBER(N446)),(N446-N445)/($C446-$C445),"")</f>
        <v/>
      </c>
      <c r="V445" s="13" t="n">
        <f aca="false">IF(ISNUMBER(F445),ROUND(F445,0),"")</f>
        <v>99</v>
      </c>
      <c r="W445" s="13" t="n">
        <f aca="false">IF(ISNUMBER(J445),ROUND(J445,0),"")</f>
        <v>95</v>
      </c>
      <c r="X445" s="13" t="n">
        <f aca="false">IF(ISNUMBER(N445),ROUND(N445,0),"")</f>
        <v>100</v>
      </c>
      <c r="Y445" s="10" t="str">
        <f aca="false">IF(AND($A445=$A446,V445=100,V446=100),"full access","")</f>
        <v/>
      </c>
      <c r="Z445" s="10" t="str">
        <f aca="false">IF(AND($A445=$A446,W445=100,W446=100),"full access","")</f>
        <v/>
      </c>
      <c r="AA445" s="10" t="str">
        <f aca="false">IF(AND($A445=$A446,X445=100,X446=100),"full access","")</f>
        <v/>
      </c>
      <c r="AB445" s="14" t="str">
        <f aca="false">IF(AND(ISNUMBER(T445),ISNUMBER(U445)),T445-U445,"")</f>
        <v/>
      </c>
    </row>
    <row r="446" customFormat="false" ht="15" hidden="false" customHeight="false" outlineLevel="0" collapsed="false">
      <c r="A446" s="4" t="s">
        <v>305</v>
      </c>
      <c r="B446" s="4" t="str">
        <f aca="false">IFERROR(INDEX('Region Lookup'!$B$2:$B$233,MATCH(A446,'Region Lookup'!$A$2:$A$233,0)),"Not found")</f>
        <v>Europe &amp; Central Asia</v>
      </c>
      <c r="C446" s="4" t="n">
        <v>2015</v>
      </c>
      <c r="D446" s="6" t="n">
        <v>30929.55664</v>
      </c>
      <c r="E446" s="7" t="n">
        <v>50.75</v>
      </c>
      <c r="F446" s="7" t="n">
        <v>97.52857826</v>
      </c>
      <c r="G446" s="7" t="n">
        <v>0</v>
      </c>
      <c r="H446" s="7" t="n">
        <v>0</v>
      </c>
      <c r="I446" s="7" t="n">
        <v>2.471421736</v>
      </c>
      <c r="J446" s="7" t="n">
        <v>95.64239155</v>
      </c>
      <c r="K446" s="7" t="n">
        <v>0</v>
      </c>
      <c r="L446" s="7" t="n">
        <v>0</v>
      </c>
      <c r="M446" s="7" t="n">
        <v>4.357608451</v>
      </c>
      <c r="N446" s="7" t="n">
        <v>99.35901562</v>
      </c>
      <c r="O446" s="7" t="n">
        <v>0</v>
      </c>
      <c r="P446" s="7" t="n">
        <v>0</v>
      </c>
      <c r="Q446" s="7" t="n">
        <v>0.6409843843</v>
      </c>
      <c r="R446" s="8" t="n">
        <f aca="false">IF($A446=$A447,$C447-$C446,"")</f>
        <v>5</v>
      </c>
      <c r="S446" s="9" t="n">
        <f aca="false">IF(AND($A446=$A447,ISNUMBER(F446),ISNUMBER(F447)),(F447-F446)/($C447-$C446),"")</f>
        <v>0.0600413180000004</v>
      </c>
      <c r="T446" s="9" t="n">
        <f aca="false">IF(AND($A446=$A447,ISNUMBER(J446),ISNUMBER(J447)),(J447-J446)/($C447-$C446),"")</f>
        <v>0.0860381619999998</v>
      </c>
      <c r="U446" s="9" t="n">
        <f aca="false">IF(AND($A446=$A447,ISNUMBER(N446),ISNUMBER(N447)),(N447-N446)/($C447-$C446),"")</f>
        <v>0.0393979880000018</v>
      </c>
      <c r="V446" s="8" t="n">
        <f aca="false">IF(ISNUMBER(F446),ROUND(F446,0),"")</f>
        <v>98</v>
      </c>
      <c r="W446" s="8" t="n">
        <f aca="false">IF(ISNUMBER(J446),ROUND(J446,0),"")</f>
        <v>96</v>
      </c>
      <c r="X446" s="8" t="n">
        <f aca="false">IF(ISNUMBER(N446),ROUND(N446,0),"")</f>
        <v>99</v>
      </c>
      <c r="Y446" s="4" t="str">
        <f aca="false">IF(AND($A446=$A447,V446=100,V447=100),"full access","")</f>
        <v/>
      </c>
      <c r="Z446" s="4" t="str">
        <f aca="false">IF(AND($A446=$A447,W446=100,W447=100),"full access","")</f>
        <v/>
      </c>
      <c r="AA446" s="4" t="str">
        <f aca="false">IF(AND($A446=$A447,X446=100,X447=100),"full access","")</f>
        <v/>
      </c>
      <c r="AB446" s="9" t="n">
        <f aca="false">IF(AND(ISNUMBER(T446),ISNUMBER(U446)),T446-U446,"")</f>
        <v>0.0466401739999981</v>
      </c>
    </row>
    <row r="447" customFormat="false" ht="15" hidden="false" customHeight="false" outlineLevel="0" collapsed="false">
      <c r="A447" s="4" t="s">
        <v>305</v>
      </c>
      <c r="B447" s="4" t="str">
        <f aca="false">IFERROR(INDEX('Region Lookup'!$B$2:$B$233,MATCH(A447,'Region Lookup'!$A$2:$A$233,0)),"Not found")</f>
        <v>Europe &amp; Central Asia</v>
      </c>
      <c r="C447" s="4" t="n">
        <v>2020</v>
      </c>
      <c r="D447" s="6" t="n">
        <v>33469.19922</v>
      </c>
      <c r="E447" s="7" t="n">
        <v>50.41599655</v>
      </c>
      <c r="F447" s="7" t="n">
        <v>97.82878485</v>
      </c>
      <c r="G447" s="7" t="n">
        <v>0</v>
      </c>
      <c r="H447" s="7" t="n">
        <v>0.22384422</v>
      </c>
      <c r="I447" s="7" t="n">
        <v>1.947370925</v>
      </c>
      <c r="J447" s="7" t="n">
        <v>96.07258236</v>
      </c>
      <c r="K447" s="7" t="n">
        <v>0</v>
      </c>
      <c r="L447" s="7" t="n">
        <v>0</v>
      </c>
      <c r="M447" s="7" t="n">
        <v>3.927417637</v>
      </c>
      <c r="N447" s="7" t="n">
        <v>99.55600556</v>
      </c>
      <c r="O447" s="7" t="n">
        <v>0</v>
      </c>
      <c r="P447" s="7" t="n">
        <v>0.4439944434</v>
      </c>
      <c r="Q447" s="7" t="n">
        <v>0</v>
      </c>
      <c r="R447" s="8" t="str">
        <f aca="false">IF($A447=$A448,$C448-$C447,"")</f>
        <v/>
      </c>
      <c r="S447" s="9" t="str">
        <f aca="false">IF(AND($A447=$A448,ISNUMBER(F447),ISNUMBER(F448)),(F448-F447)/($C448-$C447),"")</f>
        <v/>
      </c>
      <c r="T447" s="9" t="str">
        <f aca="false">IF(AND($A447=$A448,ISNUMBER(J447),ISNUMBER(J448)),(J448-J447)/($C448-$C447),"")</f>
        <v/>
      </c>
      <c r="U447" s="9" t="str">
        <f aca="false">IF(AND($A447=$A448,ISNUMBER(N447),ISNUMBER(N448)),(N448-N447)/($C448-$C447),"")</f>
        <v/>
      </c>
      <c r="V447" s="8" t="n">
        <f aca="false">IF(ISNUMBER(F447),ROUND(F447,0),"")</f>
        <v>98</v>
      </c>
      <c r="W447" s="8" t="n">
        <f aca="false">IF(ISNUMBER(J447),ROUND(J447,0),"")</f>
        <v>96</v>
      </c>
      <c r="X447" s="8" t="n">
        <f aca="false">IF(ISNUMBER(N447),ROUND(N447,0),"")</f>
        <v>100</v>
      </c>
      <c r="Y447" s="4" t="str">
        <f aca="false">IF(AND($A447=$A448,V447=100,V448=100),"full access","")</f>
        <v/>
      </c>
      <c r="Z447" s="4" t="str">
        <f aca="false">IF(AND($A447=$A448,W447=100,W448=100),"full access","")</f>
        <v/>
      </c>
      <c r="AA447" s="4" t="str">
        <f aca="false">IF(AND($A447=$A448,X447=100,X448=100),"full access","")</f>
        <v/>
      </c>
      <c r="AB447" s="9" t="str">
        <f aca="false">IF(AND(ISNUMBER(T447),ISNUMBER(U447)),T447-U447,"")</f>
        <v/>
      </c>
    </row>
    <row r="448" customFormat="false" ht="15" hidden="false" customHeight="false" outlineLevel="0" collapsed="false">
      <c r="A448" s="10" t="s">
        <v>306</v>
      </c>
      <c r="B448" s="10" t="str">
        <f aca="false">IFERROR(INDEX('Region Lookup'!$B$2:$B$233,MATCH(A448,'Region Lookup'!$A$2:$A$233,0)),"Not found")</f>
        <v>East Asia &amp; Pacific</v>
      </c>
      <c r="C448" s="10" t="n">
        <v>2015</v>
      </c>
      <c r="D448" s="11" t="n">
        <v>271.1279907</v>
      </c>
      <c r="E448" s="12" t="n">
        <v>24.96100235</v>
      </c>
      <c r="F448" s="12" t="n">
        <v>89.98817649</v>
      </c>
      <c r="G448" s="12" t="n">
        <v>1.05094321</v>
      </c>
      <c r="H448" s="12" t="n">
        <v>1.545004807</v>
      </c>
      <c r="I448" s="12" t="n">
        <v>7.415875488</v>
      </c>
      <c r="J448" s="12" t="n">
        <v>86.97805066</v>
      </c>
      <c r="K448" s="12" t="n">
        <v>1.234982464</v>
      </c>
      <c r="L448" s="12" t="n">
        <v>1.904272063</v>
      </c>
      <c r="M448" s="12" t="n">
        <v>9.882694813</v>
      </c>
      <c r="N448" s="12" t="n">
        <v>99.03735599</v>
      </c>
      <c r="O448" s="12" t="n">
        <v>0.4976751557</v>
      </c>
      <c r="P448" s="12" t="n">
        <v>0.4649688531</v>
      </c>
      <c r="Q448" s="12" t="n">
        <v>0</v>
      </c>
      <c r="R448" s="13" t="n">
        <f aca="false">IF($A448=$A449,$C449-$C448,"")</f>
        <v>5</v>
      </c>
      <c r="S448" s="14" t="n">
        <f aca="false">IF(AND($A448=$A449,ISNUMBER(F448),ISNUMBER(F449)),(F449-F448)/($C449-$C448),"")</f>
        <v>0.248602851999999</v>
      </c>
      <c r="T448" s="14" t="n">
        <f aca="false">IF(AND($A448=$A449,ISNUMBER(J448),ISNUMBER(J449)),(J449-J448)/($C449-$C448),"")</f>
        <v>0.283830114</v>
      </c>
      <c r="U448" s="14" t="n">
        <f aca="false">IF(AND($A448=$A449,ISNUMBER(N448),ISNUMBER(N449)),(N449-N448)/($C449-$C448),"")</f>
        <v>0.0925288020000011</v>
      </c>
      <c r="V448" s="13" t="n">
        <f aca="false">IF(ISNUMBER(F448),ROUND(F448,0),"")</f>
        <v>90</v>
      </c>
      <c r="W448" s="13" t="n">
        <f aca="false">IF(ISNUMBER(J448),ROUND(J448,0),"")</f>
        <v>87</v>
      </c>
      <c r="X448" s="13" t="n">
        <f aca="false">IF(ISNUMBER(N448),ROUND(N448,0),"")</f>
        <v>99</v>
      </c>
      <c r="Y448" s="10" t="str">
        <f aca="false">IF(AND($A448=$A449,V448=100,V449=100),"full access","")</f>
        <v/>
      </c>
      <c r="Z448" s="10" t="str">
        <f aca="false">IF(AND($A448=$A449,W448=100,W449=100),"full access","")</f>
        <v/>
      </c>
      <c r="AA448" s="10" t="str">
        <f aca="false">IF(AND($A448=$A449,X448=100,X449=100),"full access","")</f>
        <v/>
      </c>
      <c r="AB448" s="14" t="n">
        <f aca="false">IF(AND(ISNUMBER(T448),ISNUMBER(U448)),T448-U448,"")</f>
        <v>0.191301311999999</v>
      </c>
    </row>
    <row r="449" customFormat="false" ht="15" hidden="false" customHeight="false" outlineLevel="0" collapsed="false">
      <c r="A449" s="10" t="s">
        <v>306</v>
      </c>
      <c r="B449" s="10" t="str">
        <f aca="false">IFERROR(INDEX('Region Lookup'!$B$2:$B$233,MATCH(A449,'Region Lookup'!$A$2:$A$233,0)),"Not found")</f>
        <v>East Asia &amp; Pacific</v>
      </c>
      <c r="C449" s="10" t="n">
        <v>2020</v>
      </c>
      <c r="D449" s="11" t="n">
        <v>307.1499939</v>
      </c>
      <c r="E449" s="12" t="n">
        <v>25.52500153</v>
      </c>
      <c r="F449" s="12" t="n">
        <v>91.23119075</v>
      </c>
      <c r="G449" s="12" t="n">
        <v>1.06238505</v>
      </c>
      <c r="H449" s="12" t="n">
        <v>0</v>
      </c>
      <c r="I449" s="12" t="n">
        <v>7.706424202</v>
      </c>
      <c r="J449" s="12" t="n">
        <v>88.39720123</v>
      </c>
      <c r="K449" s="12" t="n">
        <v>1.255132675</v>
      </c>
      <c r="L449" s="12" t="n">
        <v>0</v>
      </c>
      <c r="M449" s="12" t="n">
        <v>10.3476661</v>
      </c>
      <c r="N449" s="12" t="n">
        <v>99.5</v>
      </c>
      <c r="O449" s="12" t="n">
        <v>0.5</v>
      </c>
      <c r="P449" s="12" t="n">
        <v>0</v>
      </c>
      <c r="Q449" s="12" t="n">
        <v>0</v>
      </c>
      <c r="R449" s="13" t="str">
        <f aca="false">IF($A449=$A450,$C450-$C449,"")</f>
        <v/>
      </c>
      <c r="S449" s="14" t="str">
        <f aca="false">IF(AND($A449=$A450,ISNUMBER(F449),ISNUMBER(F450)),(F450-F449)/($C450-$C449),"")</f>
        <v/>
      </c>
      <c r="T449" s="14" t="str">
        <f aca="false">IF(AND($A449=$A450,ISNUMBER(J449),ISNUMBER(J450)),(J450-J449)/($C450-$C449),"")</f>
        <v/>
      </c>
      <c r="U449" s="14" t="str">
        <f aca="false">IF(AND($A449=$A450,ISNUMBER(N449),ISNUMBER(N450)),(N450-N449)/($C450-$C449),"")</f>
        <v/>
      </c>
      <c r="V449" s="13" t="n">
        <f aca="false">IF(ISNUMBER(F449),ROUND(F449,0),"")</f>
        <v>91</v>
      </c>
      <c r="W449" s="13" t="n">
        <f aca="false">IF(ISNUMBER(J449),ROUND(J449,0),"")</f>
        <v>88</v>
      </c>
      <c r="X449" s="13" t="n">
        <f aca="false">IF(ISNUMBER(N449),ROUND(N449,0),"")</f>
        <v>100</v>
      </c>
      <c r="Y449" s="10" t="str">
        <f aca="false">IF(AND($A449=$A450,V449=100,V450=100),"full access","")</f>
        <v/>
      </c>
      <c r="Z449" s="10" t="str">
        <f aca="false">IF(AND($A449=$A450,W449=100,W450=100),"full access","")</f>
        <v/>
      </c>
      <c r="AA449" s="10" t="str">
        <f aca="false">IF(AND($A449=$A450,X449=100,X450=100),"full access","")</f>
        <v/>
      </c>
      <c r="AB449" s="14" t="str">
        <f aca="false">IF(AND(ISNUMBER(T449),ISNUMBER(U449)),T449-U449,"")</f>
        <v/>
      </c>
    </row>
    <row r="450" customFormat="false" ht="15" hidden="false" customHeight="false" outlineLevel="0" collapsed="false">
      <c r="A450" s="4" t="s">
        <v>307</v>
      </c>
      <c r="B450" s="4" t="str">
        <f aca="false">IFERROR(INDEX('Region Lookup'!$B$2:$B$233,MATCH(A450,'Region Lookup'!$A$2:$A$233,0)),"Not found")</f>
        <v>Latin America &amp; Caribbean</v>
      </c>
      <c r="C450" s="4" t="n">
        <v>2015</v>
      </c>
      <c r="D450" s="6" t="n">
        <v>30081.82617</v>
      </c>
      <c r="E450" s="7" t="n">
        <v>88.15399933</v>
      </c>
      <c r="F450" s="7" t="n">
        <v>94.57127501</v>
      </c>
      <c r="G450" s="7" t="n">
        <v>0.4752325377</v>
      </c>
      <c r="H450" s="7" t="n">
        <v>3.575264261</v>
      </c>
      <c r="I450" s="7" t="n">
        <v>1.378228192</v>
      </c>
      <c r="J450" s="7"/>
      <c r="K450" s="7"/>
      <c r="L450" s="7"/>
      <c r="M450" s="7"/>
      <c r="N450" s="7"/>
      <c r="O450" s="7"/>
      <c r="P450" s="7"/>
      <c r="Q450" s="7"/>
      <c r="R450" s="8" t="n">
        <f aca="false">IF($A450=$A451,$C451-$C450,"")</f>
        <v>5</v>
      </c>
      <c r="S450" s="9" t="n">
        <f aca="false">IF(AND($A450=$A451,ISNUMBER(F450),ISNUMBER(F451)),(F451-F450)/($C451-$C450),"")</f>
        <v>-0.17709486</v>
      </c>
      <c r="T450" s="9" t="str">
        <f aca="false">IF(AND($A450=$A451,ISNUMBER(J450),ISNUMBER(J451)),(J451-J450)/($C451-$C450),"")</f>
        <v/>
      </c>
      <c r="U450" s="9" t="str">
        <f aca="false">IF(AND($A450=$A451,ISNUMBER(N450),ISNUMBER(N451)),(N451-N450)/($C451-$C450),"")</f>
        <v/>
      </c>
      <c r="V450" s="8" t="n">
        <f aca="false">IF(ISNUMBER(F450),ROUND(F450,0),"")</f>
        <v>95</v>
      </c>
      <c r="W450" s="8" t="str">
        <f aca="false">IF(ISNUMBER(J450),ROUND(J450,0),"")</f>
        <v/>
      </c>
      <c r="X450" s="8" t="str">
        <f aca="false">IF(ISNUMBER(N450),ROUND(N450,0),"")</f>
        <v/>
      </c>
      <c r="Y450" s="4" t="str">
        <f aca="false">IF(AND($A450=$A451,V450=100,V451=100),"full access","")</f>
        <v/>
      </c>
      <c r="Z450" s="4" t="str">
        <f aca="false">IF(AND($A450=$A451,W450=100,W451=100),"full access","")</f>
        <v/>
      </c>
      <c r="AA450" s="4" t="str">
        <f aca="false">IF(AND($A450=$A451,X450=100,X451=100),"full access","")</f>
        <v/>
      </c>
      <c r="AB450" s="9" t="str">
        <f aca="false">IF(AND(ISNUMBER(T450),ISNUMBER(U450)),T450-U450,"")</f>
        <v/>
      </c>
    </row>
    <row r="451" customFormat="false" ht="15" hidden="false" customHeight="false" outlineLevel="0" collapsed="false">
      <c r="A451" s="4" t="s">
        <v>307</v>
      </c>
      <c r="B451" s="4" t="str">
        <f aca="false">IFERROR(INDEX('Region Lookup'!$B$2:$B$233,MATCH(A451,'Region Lookup'!$A$2:$A$233,0)),"Not found")</f>
        <v>Latin America &amp; Caribbean</v>
      </c>
      <c r="C451" s="4" t="n">
        <v>2020</v>
      </c>
      <c r="D451" s="6" t="n">
        <v>28435.94336</v>
      </c>
      <c r="E451" s="7" t="n">
        <v>88.27899933</v>
      </c>
      <c r="F451" s="7" t="n">
        <v>93.68580071</v>
      </c>
      <c r="G451" s="7" t="n">
        <v>0.4707829181</v>
      </c>
      <c r="H451" s="7" t="n">
        <v>5.843416373</v>
      </c>
      <c r="I451" s="7"/>
      <c r="J451" s="7"/>
      <c r="K451" s="7"/>
      <c r="L451" s="7"/>
      <c r="M451" s="7"/>
      <c r="N451" s="7"/>
      <c r="O451" s="7"/>
      <c r="P451" s="7"/>
      <c r="Q451" s="7"/>
      <c r="R451" s="8" t="str">
        <f aca="false">IF($A451=$A452,$C452-$C451,"")</f>
        <v/>
      </c>
      <c r="S451" s="9" t="str">
        <f aca="false">IF(AND($A451=$A452,ISNUMBER(F451),ISNUMBER(F452)),(F452-F451)/($C452-$C451),"")</f>
        <v/>
      </c>
      <c r="T451" s="9" t="str">
        <f aca="false">IF(AND($A451=$A452,ISNUMBER(J451),ISNUMBER(J452)),(J452-J451)/($C452-$C451),"")</f>
        <v/>
      </c>
      <c r="U451" s="9" t="str">
        <f aca="false">IF(AND($A451=$A452,ISNUMBER(N451),ISNUMBER(N452)),(N452-N451)/($C452-$C451),"")</f>
        <v/>
      </c>
      <c r="V451" s="8" t="n">
        <f aca="false">IF(ISNUMBER(F451),ROUND(F451,0),"")</f>
        <v>94</v>
      </c>
      <c r="W451" s="8" t="str">
        <f aca="false">IF(ISNUMBER(J451),ROUND(J451,0),"")</f>
        <v/>
      </c>
      <c r="X451" s="8" t="str">
        <f aca="false">IF(ISNUMBER(N451),ROUND(N451,0),"")</f>
        <v/>
      </c>
      <c r="Y451" s="4" t="str">
        <f aca="false">IF(AND($A451=$A452,V451=100,V452=100),"full access","")</f>
        <v/>
      </c>
      <c r="Z451" s="4" t="str">
        <f aca="false">IF(AND($A451=$A452,W451=100,W452=100),"full access","")</f>
        <v/>
      </c>
      <c r="AA451" s="4" t="str">
        <f aca="false">IF(AND($A451=$A452,X451=100,X452=100),"full access","")</f>
        <v/>
      </c>
      <c r="AB451" s="9" t="str">
        <f aca="false">IF(AND(ISNUMBER(T451),ISNUMBER(U451)),T451-U451,"")</f>
        <v/>
      </c>
    </row>
    <row r="452" customFormat="false" ht="15" hidden="false" customHeight="false" outlineLevel="0" collapsed="false">
      <c r="A452" s="10" t="s">
        <v>308</v>
      </c>
      <c r="B452" s="10" t="str">
        <f aca="false">IFERROR(INDEX('Region Lookup'!$B$2:$B$233,MATCH(A452,'Region Lookup'!$A$2:$A$233,0)),"Not found")</f>
        <v>East Asia &amp; Pacific</v>
      </c>
      <c r="C452" s="10" t="n">
        <v>2015</v>
      </c>
      <c r="D452" s="11" t="n">
        <v>92677.07813</v>
      </c>
      <c r="E452" s="12" t="n">
        <v>33.80900192</v>
      </c>
      <c r="F452" s="12" t="n">
        <v>93.32806058</v>
      </c>
      <c r="G452" s="12" t="n">
        <v>0.05207183785</v>
      </c>
      <c r="H452" s="12" t="n">
        <v>6.163618036</v>
      </c>
      <c r="I452" s="12" t="n">
        <v>0.4562495463</v>
      </c>
      <c r="J452" s="12" t="n">
        <v>90.83306799</v>
      </c>
      <c r="K452" s="12" t="n">
        <v>0</v>
      </c>
      <c r="L452" s="12" t="n">
        <v>8.477639565</v>
      </c>
      <c r="M452" s="12" t="n">
        <v>0.6892924429</v>
      </c>
      <c r="N452" s="12" t="n">
        <v>98.21274352</v>
      </c>
      <c r="O452" s="12" t="n">
        <v>0.1540176812</v>
      </c>
      <c r="P452" s="12" t="n">
        <v>1.633238796</v>
      </c>
      <c r="Q452" s="12" t="n">
        <v>0</v>
      </c>
      <c r="R452" s="13" t="n">
        <f aca="false">IF($A452=$A453,$C453-$C452,"")</f>
        <v>5</v>
      </c>
      <c r="S452" s="14" t="n">
        <f aca="false">IF(AND($A452=$A453,ISNUMBER(F452),ISNUMBER(F453)),(F453-F452)/($C453-$C452),"")</f>
        <v>0.711259258000001</v>
      </c>
      <c r="T452" s="14" t="n">
        <f aca="false">IF(AND($A452=$A453,ISNUMBER(J452),ISNUMBER(J453)),(J453-J452)/($C453-$C452),"")</f>
        <v>0.936294089999998</v>
      </c>
      <c r="U452" s="14" t="n">
        <f aca="false">IF(AND($A452=$A453,ISNUMBER(N452),ISNUMBER(N453)),(N453-N452)/($C453-$C452),"")</f>
        <v>0.194059297999999</v>
      </c>
      <c r="V452" s="13" t="n">
        <f aca="false">IF(ISNUMBER(F452),ROUND(F452,0),"")</f>
        <v>93</v>
      </c>
      <c r="W452" s="13" t="n">
        <f aca="false">IF(ISNUMBER(J452),ROUND(J452,0),"")</f>
        <v>91</v>
      </c>
      <c r="X452" s="13" t="n">
        <f aca="false">IF(ISNUMBER(N452),ROUND(N452,0),"")</f>
        <v>98</v>
      </c>
      <c r="Y452" s="10" t="str">
        <f aca="false">IF(AND($A452=$A453,V452=100,V453=100),"full access","")</f>
        <v/>
      </c>
      <c r="Z452" s="10" t="str">
        <f aca="false">IF(AND($A452=$A453,W452=100,W453=100),"full access","")</f>
        <v/>
      </c>
      <c r="AA452" s="10" t="str">
        <f aca="false">IF(AND($A452=$A453,X452=100,X453=100),"full access","")</f>
        <v/>
      </c>
      <c r="AB452" s="14" t="n">
        <f aca="false">IF(AND(ISNUMBER(T452),ISNUMBER(U452)),T452-U452,"")</f>
        <v>0.742234791999999</v>
      </c>
    </row>
    <row r="453" customFormat="false" ht="15" hidden="false" customHeight="false" outlineLevel="0" collapsed="false">
      <c r="A453" s="10" t="s">
        <v>308</v>
      </c>
      <c r="B453" s="10" t="str">
        <f aca="false">IFERROR(INDEX('Region Lookup'!$B$2:$B$233,MATCH(A453,'Region Lookup'!$A$2:$A$233,0)),"Not found")</f>
        <v>East Asia &amp; Pacific</v>
      </c>
      <c r="C453" s="10" t="n">
        <v>2020</v>
      </c>
      <c r="D453" s="11" t="n">
        <v>97338.58594</v>
      </c>
      <c r="E453" s="12" t="n">
        <v>37.34000015</v>
      </c>
      <c r="F453" s="12" t="n">
        <v>96.88435687</v>
      </c>
      <c r="G453" s="12" t="n">
        <v>0</v>
      </c>
      <c r="H453" s="12" t="n">
        <v>3.115643126</v>
      </c>
      <c r="I453" s="12" t="n">
        <v>0</v>
      </c>
      <c r="J453" s="12" t="n">
        <v>95.51453844</v>
      </c>
      <c r="K453" s="12" t="n">
        <v>0</v>
      </c>
      <c r="L453" s="12" t="n">
        <v>4.48546156</v>
      </c>
      <c r="M453" s="12" t="n">
        <v>0</v>
      </c>
      <c r="N453" s="12" t="n">
        <v>99.18304001</v>
      </c>
      <c r="O453" s="12" t="n">
        <v>0</v>
      </c>
      <c r="P453" s="12" t="n">
        <v>0.816959987</v>
      </c>
      <c r="Q453" s="12" t="n">
        <v>0</v>
      </c>
      <c r="R453" s="13" t="str">
        <f aca="false">IF($A453=$A454,$C454-$C453,"")</f>
        <v/>
      </c>
      <c r="S453" s="14" t="str">
        <f aca="false">IF(AND($A453=$A454,ISNUMBER(F453),ISNUMBER(F454)),(F454-F453)/($C454-$C453),"")</f>
        <v/>
      </c>
      <c r="T453" s="14" t="str">
        <f aca="false">IF(AND($A453=$A454,ISNUMBER(J453),ISNUMBER(J454)),(J454-J453)/($C454-$C453),"")</f>
        <v/>
      </c>
      <c r="U453" s="14" t="str">
        <f aca="false">IF(AND($A453=$A454,ISNUMBER(N453),ISNUMBER(N454)),(N454-N453)/($C454-$C453),"")</f>
        <v/>
      </c>
      <c r="V453" s="13" t="n">
        <f aca="false">IF(ISNUMBER(F453),ROUND(F453,0),"")</f>
        <v>97</v>
      </c>
      <c r="W453" s="13" t="n">
        <f aca="false">IF(ISNUMBER(J453),ROUND(J453,0),"")</f>
        <v>96</v>
      </c>
      <c r="X453" s="13" t="n">
        <f aca="false">IF(ISNUMBER(N453),ROUND(N453,0),"")</f>
        <v>99</v>
      </c>
      <c r="Y453" s="10" t="str">
        <f aca="false">IF(AND($A453=$A454,V453=100,V454=100),"full access","")</f>
        <v/>
      </c>
      <c r="Z453" s="10" t="str">
        <f aca="false">IF(AND($A453=$A454,W453=100,W454=100),"full access","")</f>
        <v/>
      </c>
      <c r="AA453" s="10" t="str">
        <f aca="false">IF(AND($A453=$A454,X453=100,X454=100),"full access","")</f>
        <v/>
      </c>
      <c r="AB453" s="14" t="str">
        <f aca="false">IF(AND(ISNUMBER(T453),ISNUMBER(U453)),T453-U453,"")</f>
        <v/>
      </c>
    </row>
    <row r="454" customFormat="false" ht="15" hidden="false" customHeight="false" outlineLevel="0" collapsed="false">
      <c r="A454" s="4" t="s">
        <v>309</v>
      </c>
      <c r="B454" s="4" t="str">
        <f aca="false">IFERROR(INDEX('Region Lookup'!$B$2:$B$233,MATCH(A454,'Region Lookup'!$A$2:$A$233,0)),"Not found")</f>
        <v>East Asia &amp; Pacific</v>
      </c>
      <c r="C454" s="4" t="n">
        <v>2015</v>
      </c>
      <c r="D454" s="6" t="n">
        <v>12.26200008</v>
      </c>
      <c r="E454" s="7" t="n">
        <v>0</v>
      </c>
      <c r="F454" s="7" t="n">
        <v>99.32138153</v>
      </c>
      <c r="G454" s="7" t="n">
        <v>0</v>
      </c>
      <c r="H454" s="7" t="n">
        <v>0.6786184741</v>
      </c>
      <c r="I454" s="7" t="n">
        <v>0</v>
      </c>
      <c r="J454" s="7" t="n">
        <v>99.32138153</v>
      </c>
      <c r="K454" s="7" t="n">
        <v>0</v>
      </c>
      <c r="L454" s="7" t="n">
        <v>0.6786184741</v>
      </c>
      <c r="M454" s="7" t="n">
        <v>0</v>
      </c>
      <c r="N454" s="7"/>
      <c r="O454" s="7"/>
      <c r="P454" s="7"/>
      <c r="Q454" s="7"/>
      <c r="R454" s="8" t="n">
        <f aca="false">IF($A454=$A455,$C455-$C454,"")</f>
        <v>5</v>
      </c>
      <c r="S454" s="9" t="n">
        <f aca="false">IF(AND($A454=$A455,ISNUMBER(F454),ISNUMBER(F455)),(F455-F454)/($C455-$C454),"")</f>
        <v>-0.0356188339999989</v>
      </c>
      <c r="T454" s="9" t="n">
        <f aca="false">IF(AND($A454=$A455,ISNUMBER(J454),ISNUMBER(J455)),(J455-J454)/($C455-$C454),"")</f>
        <v>-0.0356188339999989</v>
      </c>
      <c r="U454" s="9" t="str">
        <f aca="false">IF(AND($A454=$A455,ISNUMBER(N454),ISNUMBER(N455)),(N455-N454)/($C455-$C454),"")</f>
        <v/>
      </c>
      <c r="V454" s="8" t="n">
        <f aca="false">IF(ISNUMBER(F454),ROUND(F454,0),"")</f>
        <v>99</v>
      </c>
      <c r="W454" s="8" t="n">
        <f aca="false">IF(ISNUMBER(J454),ROUND(J454,0),"")</f>
        <v>99</v>
      </c>
      <c r="X454" s="8" t="str">
        <f aca="false">IF(ISNUMBER(N454),ROUND(N454,0),"")</f>
        <v/>
      </c>
      <c r="Y454" s="4" t="str">
        <f aca="false">IF(AND($A454=$A455,V454=100,V455=100),"full access","")</f>
        <v/>
      </c>
      <c r="Z454" s="4" t="str">
        <f aca="false">IF(AND($A454=$A455,W454=100,W455=100),"full access","")</f>
        <v/>
      </c>
      <c r="AA454" s="4" t="str">
        <f aca="false">IF(AND($A454=$A455,X454=100,X455=100),"full access","")</f>
        <v/>
      </c>
      <c r="AB454" s="9" t="str">
        <f aca="false">IF(AND(ISNUMBER(T454),ISNUMBER(U454)),T454-U454,"")</f>
        <v/>
      </c>
    </row>
    <row r="455" customFormat="false" ht="15" hidden="false" customHeight="false" outlineLevel="0" collapsed="false">
      <c r="A455" s="4" t="s">
        <v>309</v>
      </c>
      <c r="B455" s="4" t="str">
        <f aca="false">IFERROR(INDEX('Region Lookup'!$B$2:$B$233,MATCH(A455,'Region Lookup'!$A$2:$A$233,0)),"Not found")</f>
        <v>East Asia &amp; Pacific</v>
      </c>
      <c r="C455" s="4" t="n">
        <v>2020</v>
      </c>
      <c r="D455" s="6" t="n">
        <v>11.24600029</v>
      </c>
      <c r="E455" s="7" t="n">
        <v>0</v>
      </c>
      <c r="F455" s="7" t="n">
        <v>99.14328736</v>
      </c>
      <c r="G455" s="7" t="n">
        <v>0</v>
      </c>
      <c r="H455" s="7" t="n">
        <v>0.856712639</v>
      </c>
      <c r="I455" s="7" t="n">
        <v>0</v>
      </c>
      <c r="J455" s="7" t="n">
        <v>99.14328736</v>
      </c>
      <c r="K455" s="7" t="n">
        <v>0</v>
      </c>
      <c r="L455" s="7" t="n">
        <v>0.856712639</v>
      </c>
      <c r="M455" s="7" t="n">
        <v>0</v>
      </c>
      <c r="N455" s="7"/>
      <c r="O455" s="7"/>
      <c r="P455" s="7"/>
      <c r="Q455" s="7"/>
      <c r="R455" s="8" t="str">
        <f aca="false">IF($A455=$A456,$C456-$C455,"")</f>
        <v/>
      </c>
      <c r="S455" s="9" t="str">
        <f aca="false">IF(AND($A455=$A456,ISNUMBER(F455),ISNUMBER(F456)),(F456-F455)/($C456-$C455),"")</f>
        <v/>
      </c>
      <c r="T455" s="9" t="str">
        <f aca="false">IF(AND($A455=$A456,ISNUMBER(J455),ISNUMBER(J456)),(J456-J455)/($C456-$C455),"")</f>
        <v/>
      </c>
      <c r="U455" s="9" t="str">
        <f aca="false">IF(AND($A455=$A456,ISNUMBER(N455),ISNUMBER(N456)),(N456-N455)/($C456-$C455),"")</f>
        <v/>
      </c>
      <c r="V455" s="8" t="n">
        <f aca="false">IF(ISNUMBER(F455),ROUND(F455,0),"")</f>
        <v>99</v>
      </c>
      <c r="W455" s="8" t="n">
        <f aca="false">IF(ISNUMBER(J455),ROUND(J455,0),"")</f>
        <v>99</v>
      </c>
      <c r="X455" s="8" t="str">
        <f aca="false">IF(ISNUMBER(N455),ROUND(N455,0),"")</f>
        <v/>
      </c>
      <c r="Y455" s="4" t="str">
        <f aca="false">IF(AND($A455=$A456,V455=100,V456=100),"full access","")</f>
        <v/>
      </c>
      <c r="Z455" s="4" t="str">
        <f aca="false">IF(AND($A455=$A456,W455=100,W456=100),"full access","")</f>
        <v/>
      </c>
      <c r="AA455" s="4" t="str">
        <f aca="false">IF(AND($A455=$A456,X455=100,X456=100),"full access","")</f>
        <v/>
      </c>
      <c r="AB455" s="9" t="str">
        <f aca="false">IF(AND(ISNUMBER(T455),ISNUMBER(U455)),T455-U455,"")</f>
        <v/>
      </c>
    </row>
    <row r="456" customFormat="false" ht="15" hidden="false" customHeight="false" outlineLevel="0" collapsed="false">
      <c r="A456" s="10" t="s">
        <v>310</v>
      </c>
      <c r="B456" s="10" t="str">
        <f aca="false">IFERROR(INDEX('Region Lookup'!$B$2:$B$233,MATCH(A456,'Region Lookup'!$A$2:$A$233,0)),"Not found")</f>
        <v>Europe &amp; Central Asia</v>
      </c>
      <c r="C456" s="10" t="n">
        <v>2015</v>
      </c>
      <c r="D456" s="11" t="n">
        <v>4529.160156</v>
      </c>
      <c r="E456" s="12" t="n">
        <v>75.36799622</v>
      </c>
      <c r="F456" s="12" t="n">
        <v>96.37985671</v>
      </c>
      <c r="G456" s="12" t="n">
        <v>0.5875346644</v>
      </c>
      <c r="H456" s="12" t="n">
        <v>3.032608622</v>
      </c>
      <c r="I456" s="12"/>
      <c r="J456" s="12" t="n">
        <v>95.38114235</v>
      </c>
      <c r="K456" s="12" t="n">
        <v>0.9927312092</v>
      </c>
      <c r="L456" s="12" t="n">
        <v>3.626126441</v>
      </c>
      <c r="M456" s="12"/>
      <c r="N456" s="12" t="n">
        <v>96.70625962</v>
      </c>
      <c r="O456" s="12" t="n">
        <v>0.4551070803</v>
      </c>
      <c r="P456" s="12" t="n">
        <v>2.838633298</v>
      </c>
      <c r="Q456" s="12"/>
      <c r="R456" s="13" t="n">
        <f aca="false">IF($A456=$A457,$C457-$C456,"")</f>
        <v>5</v>
      </c>
      <c r="S456" s="14" t="n">
        <f aca="false">IF(AND($A456=$A457,ISNUMBER(F456),ISNUMBER(F457)),(F457-F456)/($C457-$C456),"")</f>
        <v>0.300108102000002</v>
      </c>
      <c r="T456" s="14" t="n">
        <f aca="false">IF(AND($A456=$A457,ISNUMBER(J456),ISNUMBER(J457)),(J457-J456)/($C457-$C456),"")</f>
        <v>0.666882813999999</v>
      </c>
      <c r="U456" s="14" t="n">
        <f aca="false">IF(AND($A456=$A457,ISNUMBER(N456),ISNUMBER(N457)),(N457-N456)/($C457-$C456),"")</f>
        <v>0.184140962000001</v>
      </c>
      <c r="V456" s="13" t="n">
        <f aca="false">IF(ISNUMBER(F456),ROUND(F456,0),"")</f>
        <v>96</v>
      </c>
      <c r="W456" s="13" t="n">
        <f aca="false">IF(ISNUMBER(J456),ROUND(J456,0),"")</f>
        <v>95</v>
      </c>
      <c r="X456" s="13" t="n">
        <f aca="false">IF(ISNUMBER(N456),ROUND(N456,0),"")</f>
        <v>97</v>
      </c>
      <c r="Y456" s="10" t="str">
        <f aca="false">IF(AND($A456=$A457,V456=100,V457=100),"full access","")</f>
        <v/>
      </c>
      <c r="Z456" s="10" t="str">
        <f aca="false">IF(AND($A456=$A457,W456=100,W457=100),"full access","")</f>
        <v/>
      </c>
      <c r="AA456" s="10" t="str">
        <f aca="false">IF(AND($A456=$A457,X456=100,X457=100),"full access","")</f>
        <v/>
      </c>
      <c r="AB456" s="14" t="n">
        <f aca="false">IF(AND(ISNUMBER(T456),ISNUMBER(U456)),T456-U456,"")</f>
        <v>0.482741851999998</v>
      </c>
    </row>
    <row r="457" customFormat="false" ht="15" hidden="false" customHeight="false" outlineLevel="0" collapsed="false">
      <c r="A457" s="10" t="s">
        <v>310</v>
      </c>
      <c r="B457" s="10" t="str">
        <f aca="false">IFERROR(INDEX('Region Lookup'!$B$2:$B$233,MATCH(A457,'Region Lookup'!$A$2:$A$233,0)),"Not found")</f>
        <v>Europe &amp; Central Asia</v>
      </c>
      <c r="C457" s="10" t="n">
        <v>2020</v>
      </c>
      <c r="D457" s="11" t="n">
        <v>5101.416016</v>
      </c>
      <c r="E457" s="12" t="n">
        <v>76.71899414</v>
      </c>
      <c r="F457" s="12" t="n">
        <v>97.88039722</v>
      </c>
      <c r="G457" s="12" t="n">
        <v>1.029979486</v>
      </c>
      <c r="H457" s="12" t="n">
        <v>1.089623295</v>
      </c>
      <c r="I457" s="12"/>
      <c r="J457" s="12" t="n">
        <v>98.71555642</v>
      </c>
      <c r="K457" s="12" t="n">
        <v>0.3174006273</v>
      </c>
      <c r="L457" s="12" t="n">
        <v>0.9670429576</v>
      </c>
      <c r="M457" s="12"/>
      <c r="N457" s="12" t="n">
        <v>97.62696443</v>
      </c>
      <c r="O457" s="12" t="n">
        <v>1.246217358</v>
      </c>
      <c r="P457" s="12" t="n">
        <v>1.126818208</v>
      </c>
      <c r="Q457" s="12"/>
      <c r="R457" s="13" t="str">
        <f aca="false">IF($A457=$A458,$C458-$C457,"")</f>
        <v/>
      </c>
      <c r="S457" s="14" t="str">
        <f aca="false">IF(AND($A457=$A458,ISNUMBER(F457),ISNUMBER(F458)),(F458-F457)/($C458-$C457),"")</f>
        <v/>
      </c>
      <c r="T457" s="14" t="str">
        <f aca="false">IF(AND($A457=$A458,ISNUMBER(J457),ISNUMBER(J458)),(J458-J457)/($C458-$C457),"")</f>
        <v/>
      </c>
      <c r="U457" s="14" t="str">
        <f aca="false">IF(AND($A457=$A458,ISNUMBER(N457),ISNUMBER(N458)),(N458-N457)/($C458-$C457),"")</f>
        <v/>
      </c>
      <c r="V457" s="13" t="n">
        <f aca="false">IF(ISNUMBER(F457),ROUND(F457,0),"")</f>
        <v>98</v>
      </c>
      <c r="W457" s="13" t="n">
        <f aca="false">IF(ISNUMBER(J457),ROUND(J457,0),"")</f>
        <v>99</v>
      </c>
      <c r="X457" s="13" t="n">
        <f aca="false">IF(ISNUMBER(N457),ROUND(N457,0),"")</f>
        <v>98</v>
      </c>
      <c r="Y457" s="10" t="str">
        <f aca="false">IF(AND($A457=$A458,V457=100,V458=100),"full access","")</f>
        <v/>
      </c>
      <c r="Z457" s="10" t="str">
        <f aca="false">IF(AND($A457=$A458,W457=100,W458=100),"full access","")</f>
        <v/>
      </c>
      <c r="AA457" s="10" t="str">
        <f aca="false">IF(AND($A457=$A458,X457=100,X458=100),"full access","")</f>
        <v/>
      </c>
      <c r="AB457" s="14" t="str">
        <f aca="false">IF(AND(ISNUMBER(T457),ISNUMBER(U457)),T457-U457,"")</f>
        <v/>
      </c>
    </row>
    <row r="458" customFormat="false" ht="15" hidden="false" customHeight="false" outlineLevel="0" collapsed="false">
      <c r="A458" s="4" t="s">
        <v>311</v>
      </c>
      <c r="B458" s="4" t="str">
        <f aca="false">IFERROR(INDEX('Region Lookup'!$B$2:$B$233,MATCH(A458,'Region Lookup'!$A$2:$A$233,0)),"Not found")</f>
        <v>Europe &amp; Central Asia</v>
      </c>
      <c r="C458" s="4" t="n">
        <v>2015</v>
      </c>
      <c r="D458" s="6" t="n">
        <v>26497.88086</v>
      </c>
      <c r="E458" s="7" t="n">
        <v>34.77700043</v>
      </c>
      <c r="F458" s="7" t="n">
        <v>55.77886863</v>
      </c>
      <c r="G458" s="7" t="n">
        <v>26.0356066</v>
      </c>
      <c r="H458" s="7" t="n">
        <v>14.70974567</v>
      </c>
      <c r="I458" s="7" t="n">
        <v>3.475779098</v>
      </c>
      <c r="J458" s="7" t="n">
        <v>44.95826816</v>
      </c>
      <c r="K458" s="7" t="n">
        <v>28.79461102</v>
      </c>
      <c r="L458" s="7" t="n">
        <v>21.10381293</v>
      </c>
      <c r="M458" s="7" t="n">
        <v>5.143307896</v>
      </c>
      <c r="N458" s="7" t="n">
        <v>76.0725119</v>
      </c>
      <c r="O458" s="7" t="n">
        <v>20.86119401</v>
      </c>
      <c r="P458" s="7" t="n">
        <v>2.717904704</v>
      </c>
      <c r="Q458" s="7" t="n">
        <v>0.3483893924</v>
      </c>
      <c r="R458" s="8" t="n">
        <f aca="false">IF($A458=$A459,$C459-$C458,"")</f>
        <v>5</v>
      </c>
      <c r="S458" s="9" t="n">
        <f aca="false">IF(AND($A458=$A459,ISNUMBER(F458),ISNUMBER(F459)),(F459-F458)/($C459-$C458),"")</f>
        <v>0.976940242000001</v>
      </c>
      <c r="T458" s="9" t="n">
        <f aca="false">IF(AND($A458=$A459,ISNUMBER(J458),ISNUMBER(J459)),(J459-J458)/($C459-$C458),"")</f>
        <v>1.144613242</v>
      </c>
      <c r="U458" s="9" t="n">
        <f aca="false">IF(AND($A458=$A459,ISNUMBER(N458),ISNUMBER(N459)),(N459-N458)/($C459-$C458),"")</f>
        <v>0.188323488</v>
      </c>
      <c r="V458" s="8" t="n">
        <f aca="false">IF(ISNUMBER(F458),ROUND(F458,0),"")</f>
        <v>56</v>
      </c>
      <c r="W458" s="8" t="n">
        <f aca="false">IF(ISNUMBER(J458),ROUND(J458,0),"")</f>
        <v>45</v>
      </c>
      <c r="X458" s="8" t="n">
        <f aca="false">IF(ISNUMBER(N458),ROUND(N458,0),"")</f>
        <v>76</v>
      </c>
      <c r="Y458" s="4" t="str">
        <f aca="false">IF(AND($A458=$A459,V458=100,V459=100),"full access","")</f>
        <v/>
      </c>
      <c r="Z458" s="4" t="str">
        <f aca="false">IF(AND($A458=$A459,W458=100,W459=100),"full access","")</f>
        <v/>
      </c>
      <c r="AA458" s="4" t="str">
        <f aca="false">IF(AND($A458=$A459,X458=100,X459=100),"full access","")</f>
        <v/>
      </c>
      <c r="AB458" s="9" t="n">
        <f aca="false">IF(AND(ISNUMBER(T458),ISNUMBER(U458)),T458-U458,"")</f>
        <v>0.956289753999999</v>
      </c>
    </row>
    <row r="459" customFormat="false" ht="15" hidden="false" customHeight="false" outlineLevel="0" collapsed="false">
      <c r="A459" s="4" t="s">
        <v>311</v>
      </c>
      <c r="B459" s="4" t="str">
        <f aca="false">IFERROR(INDEX('Region Lookup'!$B$2:$B$233,MATCH(A459,'Region Lookup'!$A$2:$A$233,0)),"Not found")</f>
        <v>Europe &amp; Central Asia</v>
      </c>
      <c r="C459" s="4" t="n">
        <v>2020</v>
      </c>
      <c r="D459" s="6" t="n">
        <v>29825.96875</v>
      </c>
      <c r="E459" s="7" t="n">
        <v>37.90799713</v>
      </c>
      <c r="F459" s="7" t="n">
        <v>60.66356984</v>
      </c>
      <c r="G459" s="7" t="n">
        <v>28.9627418</v>
      </c>
      <c r="H459" s="7" t="n">
        <v>7.77785276</v>
      </c>
      <c r="I459" s="7" t="n">
        <v>2.595835594</v>
      </c>
      <c r="J459" s="7" t="n">
        <v>50.68133437</v>
      </c>
      <c r="K459" s="7" t="n">
        <v>33.53021373</v>
      </c>
      <c r="L459" s="7" t="n">
        <v>11.60782393</v>
      </c>
      <c r="M459" s="7" t="n">
        <v>4.180627978</v>
      </c>
      <c r="N459" s="7" t="n">
        <v>77.01412934</v>
      </c>
      <c r="O459" s="7" t="n">
        <v>21.48137937</v>
      </c>
      <c r="P459" s="7" t="n">
        <v>1.504491286</v>
      </c>
      <c r="Q459" s="7" t="n">
        <v>0</v>
      </c>
      <c r="R459" s="8" t="str">
        <f aca="false">IF($A459=$A460,$C460-$C459,"")</f>
        <v/>
      </c>
      <c r="S459" s="9" t="str">
        <f aca="false">IF(AND($A459=$A460,ISNUMBER(F459),ISNUMBER(F460)),(F460-F459)/($C460-$C459),"")</f>
        <v/>
      </c>
      <c r="T459" s="9" t="str">
        <f aca="false">IF(AND($A459=$A460,ISNUMBER(J459),ISNUMBER(J460)),(J460-J459)/($C460-$C459),"")</f>
        <v/>
      </c>
      <c r="U459" s="9" t="str">
        <f aca="false">IF(AND($A459=$A460,ISNUMBER(N459),ISNUMBER(N460)),(N460-N459)/($C460-$C459),"")</f>
        <v/>
      </c>
      <c r="V459" s="8" t="n">
        <f aca="false">IF(ISNUMBER(F459),ROUND(F459,0),"")</f>
        <v>61</v>
      </c>
      <c r="W459" s="8" t="n">
        <f aca="false">IF(ISNUMBER(J459),ROUND(J459,0),"")</f>
        <v>51</v>
      </c>
      <c r="X459" s="8" t="n">
        <f aca="false">IF(ISNUMBER(N459),ROUND(N459,0),"")</f>
        <v>77</v>
      </c>
      <c r="Y459" s="4" t="str">
        <f aca="false">IF(AND($A459=$A460,V459=100,V460=100),"full access","")</f>
        <v/>
      </c>
      <c r="Z459" s="4" t="str">
        <f aca="false">IF(AND($A459=$A460,W459=100,W460=100),"full access","")</f>
        <v/>
      </c>
      <c r="AA459" s="4" t="str">
        <f aca="false">IF(AND($A459=$A460,X459=100,X460=100),"full access","")</f>
        <v/>
      </c>
      <c r="AB459" s="9" t="str">
        <f aca="false">IF(AND(ISNUMBER(T459),ISNUMBER(U459)),T459-U459,"")</f>
        <v/>
      </c>
    </row>
    <row r="460" customFormat="false" ht="15" hidden="false" customHeight="false" outlineLevel="0" collapsed="false">
      <c r="A460" s="10" t="s">
        <v>312</v>
      </c>
      <c r="B460" s="10" t="str">
        <f aca="false">IFERROR(INDEX('Region Lookup'!$B$2:$B$233,MATCH(A460,'Region Lookup'!$A$2:$A$233,0)),"Not found")</f>
        <v>Sub-Saharan Africa</v>
      </c>
      <c r="C460" s="10" t="n">
        <v>2015</v>
      </c>
      <c r="D460" s="11" t="n">
        <v>15879.37012</v>
      </c>
      <c r="E460" s="12" t="n">
        <v>41.9070015</v>
      </c>
      <c r="F460" s="12" t="n">
        <v>61.33874628</v>
      </c>
      <c r="G460" s="12" t="n">
        <v>5.65391723</v>
      </c>
      <c r="H460" s="12" t="n">
        <v>23.3359001</v>
      </c>
      <c r="I460" s="12" t="n">
        <v>9.671436392</v>
      </c>
      <c r="J460" s="12" t="n">
        <v>43.61683432</v>
      </c>
      <c r="K460" s="12" t="n">
        <v>7.210864868</v>
      </c>
      <c r="L460" s="12" t="n">
        <v>33.25721949</v>
      </c>
      <c r="M460" s="12" t="n">
        <v>15.91508132</v>
      </c>
      <c r="N460" s="12" t="n">
        <v>85.90549729</v>
      </c>
      <c r="O460" s="12" t="n">
        <v>3.495619671</v>
      </c>
      <c r="P460" s="12" t="n">
        <v>9.582613847</v>
      </c>
      <c r="Q460" s="12" t="n">
        <v>1.016269193</v>
      </c>
      <c r="R460" s="13" t="n">
        <f aca="false">IF($A460=$A461,$C461-$C460,"")</f>
        <v>5</v>
      </c>
      <c r="S460" s="14" t="n">
        <f aca="false">IF(AND($A460=$A461,ISNUMBER(F460),ISNUMBER(F461)),(F461-F460)/($C461-$C460),"")</f>
        <v>0.814727458</v>
      </c>
      <c r="T460" s="14" t="n">
        <f aca="false">IF(AND($A460=$A461,ISNUMBER(J460),ISNUMBER(J461)),(J461-J460)/($C461-$C460),"")</f>
        <v>0.922090802</v>
      </c>
      <c r="U460" s="14" t="n">
        <f aca="false">IF(AND($A460=$A461,ISNUMBER(N460),ISNUMBER(N461)),(N461-N460)/($C461-$C460),"")</f>
        <v>0.165671474000001</v>
      </c>
      <c r="V460" s="13" t="n">
        <f aca="false">IF(ISNUMBER(F460),ROUND(F460,0),"")</f>
        <v>61</v>
      </c>
      <c r="W460" s="13" t="n">
        <f aca="false">IF(ISNUMBER(J460),ROUND(J460,0),"")</f>
        <v>44</v>
      </c>
      <c r="X460" s="13" t="n">
        <f aca="false">IF(ISNUMBER(N460),ROUND(N460,0),"")</f>
        <v>86</v>
      </c>
      <c r="Y460" s="10" t="str">
        <f aca="false">IF(AND($A460=$A461,V460=100,V461=100),"full access","")</f>
        <v/>
      </c>
      <c r="Z460" s="10" t="str">
        <f aca="false">IF(AND($A460=$A461,W460=100,W461=100),"full access","")</f>
        <v/>
      </c>
      <c r="AA460" s="10" t="str">
        <f aca="false">IF(AND($A460=$A461,X460=100,X461=100),"full access","")</f>
        <v/>
      </c>
      <c r="AB460" s="14" t="n">
        <f aca="false">IF(AND(ISNUMBER(T460),ISNUMBER(U460)),T460-U460,"")</f>
        <v>0.756419327999998</v>
      </c>
    </row>
    <row r="461" customFormat="false" ht="15" hidden="false" customHeight="false" outlineLevel="0" collapsed="false">
      <c r="A461" s="10" t="s">
        <v>312</v>
      </c>
      <c r="B461" s="10" t="str">
        <f aca="false">IFERROR(INDEX('Region Lookup'!$B$2:$B$233,MATCH(A461,'Region Lookup'!$A$2:$A$233,0)),"Not found")</f>
        <v>Sub-Saharan Africa</v>
      </c>
      <c r="C461" s="10" t="n">
        <v>2020</v>
      </c>
      <c r="D461" s="11" t="n">
        <v>18383.95508</v>
      </c>
      <c r="E461" s="12" t="n">
        <v>44.6289978</v>
      </c>
      <c r="F461" s="12" t="n">
        <v>65.41238357</v>
      </c>
      <c r="G461" s="12" t="n">
        <v>6.15393902</v>
      </c>
      <c r="H461" s="12" t="n">
        <v>21.57684071</v>
      </c>
      <c r="I461" s="12" t="n">
        <v>6.856836706</v>
      </c>
      <c r="J461" s="12" t="n">
        <v>48.22728833</v>
      </c>
      <c r="K461" s="12" t="n">
        <v>8.331703613</v>
      </c>
      <c r="L461" s="12" t="n">
        <v>31.60865444</v>
      </c>
      <c r="M461" s="12" t="n">
        <v>11.83235362</v>
      </c>
      <c r="N461" s="12" t="n">
        <v>86.73385466</v>
      </c>
      <c r="O461" s="12" t="n">
        <v>3.451996194</v>
      </c>
      <c r="P461" s="12" t="n">
        <v>9.130414105</v>
      </c>
      <c r="Q461" s="12" t="n">
        <v>0.6837350463</v>
      </c>
      <c r="R461" s="13" t="str">
        <f aca="false">IF($A461=$A462,$C462-$C461,"")</f>
        <v/>
      </c>
      <c r="S461" s="14" t="str">
        <f aca="false">IF(AND($A461=$A462,ISNUMBER(F461),ISNUMBER(F462)),(F462-F461)/($C462-$C461),"")</f>
        <v/>
      </c>
      <c r="T461" s="14" t="str">
        <f aca="false">IF(AND($A461=$A462,ISNUMBER(J461),ISNUMBER(J462)),(J462-J461)/($C462-$C461),"")</f>
        <v/>
      </c>
      <c r="U461" s="14" t="str">
        <f aca="false">IF(AND($A461=$A462,ISNUMBER(N461),ISNUMBER(N462)),(N462-N461)/($C462-$C461),"")</f>
        <v/>
      </c>
      <c r="V461" s="13" t="n">
        <f aca="false">IF(ISNUMBER(F461),ROUND(F461,0),"")</f>
        <v>65</v>
      </c>
      <c r="W461" s="13" t="n">
        <f aca="false">IF(ISNUMBER(J461),ROUND(J461,0),"")</f>
        <v>48</v>
      </c>
      <c r="X461" s="13" t="n">
        <f aca="false">IF(ISNUMBER(N461),ROUND(N461,0),"")</f>
        <v>87</v>
      </c>
      <c r="Y461" s="10" t="str">
        <f aca="false">IF(AND($A461=$A462,V461=100,V462=100),"full access","")</f>
        <v/>
      </c>
      <c r="Z461" s="10" t="str">
        <f aca="false">IF(AND($A461=$A462,W461=100,W462=100),"full access","")</f>
        <v/>
      </c>
      <c r="AA461" s="10" t="str">
        <f aca="false">IF(AND($A461=$A462,X461=100,X462=100),"full access","")</f>
        <v/>
      </c>
      <c r="AB461" s="14" t="str">
        <f aca="false">IF(AND(ISNUMBER(T461),ISNUMBER(U461)),T461-U461,"")</f>
        <v/>
      </c>
    </row>
    <row r="462" customFormat="false" ht="15" hidden="false" customHeight="false" outlineLevel="0" collapsed="false">
      <c r="A462" s="4" t="s">
        <v>313</v>
      </c>
      <c r="B462" s="4" t="str">
        <f aca="false">IFERROR(INDEX('Region Lookup'!$B$2:$B$233,MATCH(A462,'Region Lookup'!$A$2:$A$233,0)),"Not found")</f>
        <v>Sub-Saharan Africa</v>
      </c>
      <c r="C462" s="4" t="n">
        <v>2015</v>
      </c>
      <c r="D462" s="6" t="n">
        <v>13815</v>
      </c>
      <c r="E462" s="7" t="n">
        <v>32</v>
      </c>
      <c r="F462" s="7" t="n">
        <v>65</v>
      </c>
      <c r="G462" s="7" t="n">
        <v>12</v>
      </c>
      <c r="H462" s="7" t="n">
        <v>16</v>
      </c>
      <c r="I462" s="7" t="n">
        <v>7</v>
      </c>
      <c r="J462" s="7" t="n">
        <v>51</v>
      </c>
      <c r="K462" s="7" t="n">
        <v>16</v>
      </c>
      <c r="L462" s="7" t="n">
        <v>23</v>
      </c>
      <c r="M462" s="7" t="n">
        <v>10</v>
      </c>
      <c r="N462" s="7" t="n">
        <v>94</v>
      </c>
      <c r="O462" s="7" t="n">
        <v>4</v>
      </c>
      <c r="P462" s="7" t="n">
        <v>2</v>
      </c>
      <c r="Q462" s="7" t="n">
        <v>0.5</v>
      </c>
      <c r="R462" s="8" t="n">
        <f aca="false">IF($A462=$A463,$C463-$C462,"")</f>
        <v>5</v>
      </c>
      <c r="S462" s="9" t="n">
        <f aca="false">IF(AND($A462=$A463,ISNUMBER(F462),ISNUMBER(F463)),(F463-F462)/($C463-$C462),"")</f>
        <v>-0.4</v>
      </c>
      <c r="T462" s="9" t="n">
        <f aca="false">IF(AND($A462=$A463,ISNUMBER(J462),ISNUMBER(J463)),(J463-J462)/($C463-$C462),"")</f>
        <v>-0.6</v>
      </c>
      <c r="U462" s="9" t="n">
        <f aca="false">IF(AND($A462=$A463,ISNUMBER(N462),ISNUMBER(N463)),(N463-N462)/($C463-$C462),"")</f>
        <v>-0.2</v>
      </c>
      <c r="V462" s="8" t="n">
        <f aca="false">IF(ISNUMBER(F462),ROUND(F462,0),"")</f>
        <v>65</v>
      </c>
      <c r="W462" s="8" t="n">
        <f aca="false">IF(ISNUMBER(J462),ROUND(J462,0),"")</f>
        <v>51</v>
      </c>
      <c r="X462" s="8" t="n">
        <f aca="false">IF(ISNUMBER(N462),ROUND(N462,0),"")</f>
        <v>94</v>
      </c>
      <c r="Y462" s="4" t="str">
        <f aca="false">IF(AND($A462=$A463,V462=100,V463=100),"full access","")</f>
        <v/>
      </c>
      <c r="Z462" s="4" t="str">
        <f aca="false">IF(AND($A462=$A463,W462=100,W463=100),"full access","")</f>
        <v/>
      </c>
      <c r="AA462" s="4" t="str">
        <f aca="false">IF(AND($A462=$A463,X462=100,X463=100),"full access","")</f>
        <v/>
      </c>
      <c r="AB462" s="9" t="n">
        <f aca="false">IF(AND(ISNUMBER(T462),ISNUMBER(U462)),T462-U462,"")</f>
        <v>-0.4</v>
      </c>
    </row>
    <row r="463" customFormat="false" ht="15" hidden="false" customHeight="false" outlineLevel="0" collapsed="false">
      <c r="A463" s="4" t="s">
        <v>313</v>
      </c>
      <c r="B463" s="4" t="str">
        <f aca="false">IFERROR(INDEX('Region Lookup'!$B$2:$B$233,MATCH(A463,'Region Lookup'!$A$2:$A$233,0)),"Not found")</f>
        <v>Sub-Saharan Africa</v>
      </c>
      <c r="C463" s="4" t="n">
        <v>2020</v>
      </c>
      <c r="D463" s="6" t="n">
        <v>14863</v>
      </c>
      <c r="E463" s="7" t="n">
        <v>32</v>
      </c>
      <c r="F463" s="7" t="n">
        <v>63</v>
      </c>
      <c r="G463" s="7" t="n">
        <v>14</v>
      </c>
      <c r="H463" s="7" t="n">
        <v>16</v>
      </c>
      <c r="I463" s="7" t="n">
        <v>7</v>
      </c>
      <c r="J463" s="7" t="n">
        <v>48</v>
      </c>
      <c r="K463" s="7" t="n">
        <v>19</v>
      </c>
      <c r="L463" s="7" t="n">
        <v>23</v>
      </c>
      <c r="M463" s="7" t="n">
        <v>10</v>
      </c>
      <c r="N463" s="7" t="n">
        <v>93</v>
      </c>
      <c r="O463" s="7" t="n">
        <v>5</v>
      </c>
      <c r="P463" s="7" t="n">
        <v>2</v>
      </c>
      <c r="Q463" s="7" t="n">
        <v>0.5</v>
      </c>
      <c r="R463" s="8" t="str">
        <f aca="false">IF($A463=$A464,$C464-$C463,"")</f>
        <v/>
      </c>
      <c r="S463" s="9" t="str">
        <f aca="false">IF(AND($A463=$A464,ISNUMBER(F463),ISNUMBER(F464)),(F464-F463)/($C464-$C463),"")</f>
        <v/>
      </c>
      <c r="T463" s="9" t="str">
        <f aca="false">IF(AND($A463=$A464,ISNUMBER(J463),ISNUMBER(J464)),(J464-J463)/($C464-$C463),"")</f>
        <v/>
      </c>
      <c r="U463" s="9" t="str">
        <f aca="false">IF(AND($A463=$A464,ISNUMBER(N463),ISNUMBER(N464)),(N464-N463)/($C464-$C463),"")</f>
        <v/>
      </c>
      <c r="V463" s="8" t="n">
        <f aca="false">IF(ISNUMBER(F463),ROUND(F463,0),"")</f>
        <v>63</v>
      </c>
      <c r="W463" s="8" t="n">
        <f aca="false">IF(ISNUMBER(J463),ROUND(J463,0),"")</f>
        <v>48</v>
      </c>
      <c r="X463" s="8" t="n">
        <f aca="false">IF(ISNUMBER(N463),ROUND(N463,0),"")</f>
        <v>93</v>
      </c>
      <c r="Y463" s="4" t="str">
        <f aca="false">IF(AND($A463=$A464,V463=100,V464=100),"full access","")</f>
        <v/>
      </c>
      <c r="Z463" s="4" t="str">
        <f aca="false">IF(AND($A463=$A464,W463=100,W464=100),"full access","")</f>
        <v/>
      </c>
      <c r="AA463" s="4" t="str">
        <f aca="false">IF(AND($A463=$A464,X463=100,X464=100),"full access","")</f>
        <v/>
      </c>
      <c r="AB463" s="9" t="str">
        <f aca="false">IF(AND(ISNUMBER(T463),ISNUMBER(U463)),T463-U463,"")</f>
        <v/>
      </c>
    </row>
  </sheetData>
  <autoFilter ref="A1:AB4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12"/>
  </cols>
  <sheetData>
    <row r="1" customFormat="false" ht="19.7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19.5" hidden="false" customHeight="true" outlineLevel="0" collapsed="false">
      <c r="A4" s="15" t="s">
        <v>316</v>
      </c>
      <c r="D4" s="5" t="s">
        <v>30</v>
      </c>
      <c r="E4" s="5" t="s">
        <v>317</v>
      </c>
    </row>
    <row r="5" customFormat="false" ht="15" hidden="false" customHeight="false" outlineLevel="0" collapsed="false">
      <c r="A5" s="16" t="s">
        <v>318</v>
      </c>
      <c r="B5" s="17" t="n">
        <f aca="false">COUNT(Data!$R$2:$R$463)</f>
        <v>231</v>
      </c>
      <c r="D5" s="16" t="s">
        <v>319</v>
      </c>
      <c r="E5" s="16" t="n">
        <f aca="false">COUNTIF(Data!$C$2:$C$463,2015)</f>
        <v>231</v>
      </c>
    </row>
    <row r="6" customFormat="false" ht="15" hidden="false" customHeight="false" outlineLevel="0" collapsed="false">
      <c r="A6" s="16" t="s">
        <v>320</v>
      </c>
      <c r="B6" s="17" t="n">
        <f aca="false">MIN(Data!$C$2:$C$463)</f>
        <v>2015</v>
      </c>
      <c r="D6" s="16" t="s">
        <v>321</v>
      </c>
      <c r="E6" s="16" t="n">
        <f aca="false">COUNTIF(Data!$C$2:$C$463,2016)</f>
        <v>3</v>
      </c>
    </row>
    <row r="7" customFormat="false" ht="15" hidden="false" customHeight="false" outlineLevel="0" collapsed="false">
      <c r="A7" s="16" t="s">
        <v>322</v>
      </c>
      <c r="B7" s="17" t="n">
        <f aca="false">MAX(Data!$C$2:$C$463)</f>
        <v>2020</v>
      </c>
      <c r="D7" s="16" t="s">
        <v>323</v>
      </c>
      <c r="E7" s="16" t="n">
        <f aca="false">COUNTIF(Data!$C$2:$C$463,2017)</f>
        <v>9</v>
      </c>
    </row>
    <row r="8" customFormat="false" ht="15" hidden="false" customHeight="false" outlineLevel="0" collapsed="false">
      <c r="A8" s="16" t="s">
        <v>324</v>
      </c>
      <c r="B8" s="18" t="n">
        <f aca="false">ROUND(AVERAGE(Data!$R$2:$R$463),2)</f>
        <v>4.8</v>
      </c>
      <c r="D8" s="16" t="s">
        <v>325</v>
      </c>
      <c r="E8" s="16" t="n">
        <f aca="false">COUNTIF(Data!$C$2:$C$463,2018)</f>
        <v>2</v>
      </c>
    </row>
    <row r="9" customFormat="false" ht="15" hidden="false" customHeight="false" outlineLevel="0" collapsed="false">
      <c r="A9" s="16" t="s">
        <v>326</v>
      </c>
      <c r="B9" s="17" t="n">
        <f aca="false">MEDIAN(Data!$R$2:$R$463)</f>
        <v>5</v>
      </c>
      <c r="D9" s="16" t="s">
        <v>327</v>
      </c>
      <c r="E9" s="16" t="n">
        <f aca="false">COUNTIF(Data!$C$2:$C$463,2019)</f>
        <v>4</v>
      </c>
    </row>
    <row r="10" customFormat="false" ht="15" hidden="false" customHeight="false" outlineLevel="0" collapsed="false">
      <c r="A10" s="16" t="s">
        <v>328</v>
      </c>
      <c r="B10" s="17" t="n">
        <f aca="false">MIN(Data!$R$2:$R$463)</f>
        <v>1</v>
      </c>
      <c r="D10" s="16" t="s">
        <v>329</v>
      </c>
      <c r="E10" s="16" t="n">
        <f aca="false">COUNTIF(Data!$C$2:$C$463,2020)</f>
        <v>213</v>
      </c>
    </row>
    <row r="11" customFormat="false" ht="15" hidden="false" customHeight="false" outlineLevel="0" collapsed="false">
      <c r="A11" s="16" t="s">
        <v>330</v>
      </c>
      <c r="B11" s="17" t="n">
        <f aca="false">MAX(Data!$R$2:$R$463)</f>
        <v>5</v>
      </c>
    </row>
    <row r="18" customFormat="false" ht="15" hidden="false" customHeight="false" outlineLevel="0" collapsed="false">
      <c r="A18" s="15" t="s">
        <v>331</v>
      </c>
    </row>
    <row r="19" customFormat="false" ht="31.5" hidden="false" customHeight="true" outlineLevel="0" collapsed="false">
      <c r="A19" s="5" t="s">
        <v>332</v>
      </c>
      <c r="B19" s="5" t="s">
        <v>333</v>
      </c>
      <c r="C19" s="5" t="s">
        <v>334</v>
      </c>
      <c r="D19" s="5" t="s">
        <v>335</v>
      </c>
      <c r="E19" s="5" t="s">
        <v>336</v>
      </c>
      <c r="F19" s="5" t="s">
        <v>337</v>
      </c>
      <c r="G19" s="5" t="s">
        <v>338</v>
      </c>
    </row>
    <row r="20" customFormat="false" ht="15" hidden="false" customHeight="false" outlineLevel="0" collapsed="false">
      <c r="A20" s="19" t="s">
        <v>339</v>
      </c>
      <c r="B20" s="16" t="n">
        <f aca="false">COUNT(Data!$S$2:$S$463)</f>
        <v>229</v>
      </c>
      <c r="C20" s="16" t="n">
        <f aca="false">SUMPRODUCT(ISNUMBER(Data!$R$2:$R$463)*NOT(ISNUMBER(Data!$S$2:$S$463)))</f>
        <v>2</v>
      </c>
      <c r="D20" s="20" t="n">
        <f aca="false">AVERAGE(Data!$S$2:$S$463)</f>
        <v>0.276996082091703</v>
      </c>
      <c r="E20" s="20" t="n">
        <f aca="false">MEDIAN(Data!$S$2:$S$463)</f>
        <v>0.078589980000001</v>
      </c>
      <c r="F20" s="20" t="n">
        <f aca="false">MIN(Data!$S$2:$S$463)</f>
        <v>-1.021788674</v>
      </c>
      <c r="G20" s="20" t="n">
        <f aca="false">MAX(Data!$S$2:$S$463)</f>
        <v>2.750326488</v>
      </c>
    </row>
    <row r="21" customFormat="false" ht="15" hidden="false" customHeight="false" outlineLevel="0" collapsed="false">
      <c r="A21" s="19" t="s">
        <v>340</v>
      </c>
      <c r="B21" s="16" t="n">
        <f aca="false">COUNT(Data!$T$2:$T$463)</f>
        <v>167</v>
      </c>
      <c r="C21" s="16" t="n">
        <f aca="false">SUMPRODUCT(ISNUMBER(Data!$R$2:$R$463)*NOT(ISNUMBER(Data!$T$2:$T$463)))</f>
        <v>64</v>
      </c>
      <c r="D21" s="20" t="n">
        <f aca="false">AVERAGE(Data!$T$2:$T$463)</f>
        <v>0.484454931712575</v>
      </c>
      <c r="E21" s="20" t="n">
        <f aca="false">MEDIAN(Data!$T$2:$T$463)</f>
        <v>0.2897808</v>
      </c>
      <c r="F21" s="20" t="n">
        <f aca="false">MIN(Data!$T$2:$T$463)</f>
        <v>-1.22738096</v>
      </c>
      <c r="G21" s="20" t="n">
        <f aca="false">MAX(Data!$T$2:$T$463)</f>
        <v>2.667882638</v>
      </c>
    </row>
    <row r="22" customFormat="false" ht="15" hidden="false" customHeight="false" outlineLevel="0" collapsed="false">
      <c r="A22" s="19" t="s">
        <v>341</v>
      </c>
      <c r="B22" s="16" t="n">
        <f aca="false">COUNT(Data!$U$2:$U$463)</f>
        <v>181</v>
      </c>
      <c r="C22" s="16" t="n">
        <f aca="false">SUMPRODUCT(ISNUMBER(Data!$R$2:$R$463)*NOT(ISNUMBER(Data!$U$2:$U$463)))</f>
        <v>50</v>
      </c>
      <c r="D22" s="20" t="n">
        <f aca="false">AVERAGE(Data!$U$2:$U$463)</f>
        <v>0.154462636861879</v>
      </c>
      <c r="E22" s="20" t="n">
        <f aca="false">MEDIAN(Data!$U$2:$U$463)</f>
        <v>0.0301451700000001</v>
      </c>
      <c r="F22" s="20" t="n">
        <f aca="false">MIN(Data!$U$2:$U$463)</f>
        <v>-1.620086812</v>
      </c>
      <c r="G22" s="20" t="n">
        <f aca="false">MAX(Data!$U$2:$U$463)</f>
        <v>2.668211856</v>
      </c>
    </row>
    <row r="25" customFormat="false" ht="15" hidden="false" customHeight="false" outlineLevel="0" collapsed="false">
      <c r="A25" s="15" t="s">
        <v>342</v>
      </c>
    </row>
    <row r="26" customFormat="false" ht="31.5" hidden="false" customHeight="true" outlineLevel="0" collapsed="false">
      <c r="A26" s="5" t="s">
        <v>332</v>
      </c>
      <c r="B26" s="5" t="s">
        <v>334</v>
      </c>
      <c r="C26" s="5" t="s">
        <v>343</v>
      </c>
      <c r="D26" s="5" t="s">
        <v>344</v>
      </c>
      <c r="E26" s="5" t="s">
        <v>345</v>
      </c>
      <c r="F26" s="5" t="s">
        <v>346</v>
      </c>
      <c r="G26" s="5" t="s">
        <v>347</v>
      </c>
      <c r="H26" s="5" t="s">
        <v>348</v>
      </c>
    </row>
    <row r="27" customFormat="false" ht="15" hidden="false" customHeight="false" outlineLevel="0" collapsed="false">
      <c r="A27" s="19" t="s">
        <v>339</v>
      </c>
      <c r="B27" s="16" t="n">
        <f aca="false">C20</f>
        <v>2</v>
      </c>
      <c r="C27" s="16" t="n">
        <f aca="false">COUNTIF(Data!$Y$2:$Y$463,"full access")</f>
        <v>62</v>
      </c>
      <c r="D27" s="16" t="n">
        <f aca="false">COUNTIFS(Data!$S$2:$S$463,0,Data!$Y$2:$Y$463,"&lt;&gt;full access")</f>
        <v>16</v>
      </c>
      <c r="E27" s="16" t="n">
        <f aca="false">COUNTIFS(Data!$S$2:$S$463,"&lt;0",Data!$Y$2:$Y$463,"&lt;&gt;full access")</f>
        <v>16</v>
      </c>
      <c r="F27" s="16" t="n">
        <f aca="false">COUNTIFS(Data!$S$2:$S$463,"&gt;0",Data!$Y$2:$Y$463,"&lt;&gt;full access")</f>
        <v>135</v>
      </c>
      <c r="G27" s="16" t="n">
        <f aca="false">SUM(B27:F27)</f>
        <v>231</v>
      </c>
      <c r="H27" s="16" t="str">
        <f aca="false">IF(G27=$B$5,"OK","Mismatch")</f>
        <v>OK</v>
      </c>
    </row>
    <row r="28" customFormat="false" ht="15" hidden="false" customHeight="false" outlineLevel="0" collapsed="false">
      <c r="A28" s="19" t="s">
        <v>340</v>
      </c>
      <c r="B28" s="16" t="n">
        <f aca="false">C21</f>
        <v>64</v>
      </c>
      <c r="C28" s="16" t="n">
        <f aca="false">COUNTIF(Data!$Z$2:$Z$463,"full access")</f>
        <v>29</v>
      </c>
      <c r="D28" s="16" t="n">
        <f aca="false">COUNTIFS(Data!$T$2:$T$463,0,Data!$Z$2:$Z$463,"&lt;&gt;full access")</f>
        <v>5</v>
      </c>
      <c r="E28" s="16" t="n">
        <f aca="false">COUNTIFS(Data!$T$2:$T$463,"&lt;0",Data!$Z$2:$Z$463,"&lt;&gt;full access")</f>
        <v>17</v>
      </c>
      <c r="F28" s="16" t="n">
        <f aca="false">COUNTIFS(Data!$T$2:$T$463,"&gt;0",Data!$Z$2:$Z$463,"&lt;&gt;full access")</f>
        <v>116</v>
      </c>
      <c r="G28" s="16" t="n">
        <f aca="false">SUM(B28:F28)</f>
        <v>231</v>
      </c>
      <c r="H28" s="16" t="str">
        <f aca="false">IF(G28=$B$5,"OK","Mismatch")</f>
        <v>OK</v>
      </c>
    </row>
    <row r="29" customFormat="false" ht="15" hidden="false" customHeight="false" outlineLevel="0" collapsed="false">
      <c r="A29" s="19" t="s">
        <v>341</v>
      </c>
      <c r="B29" s="16" t="n">
        <f aca="false">C22</f>
        <v>50</v>
      </c>
      <c r="C29" s="16" t="n">
        <f aca="false">COUNTIF(Data!$AA$2:$AA$463,"full access")</f>
        <v>55</v>
      </c>
      <c r="D29" s="16" t="n">
        <f aca="false">COUNTIFS(Data!$U$2:$U$463,0,Data!$AA$2:$AA$463,"&lt;&gt;full access")</f>
        <v>7</v>
      </c>
      <c r="E29" s="16" t="n">
        <f aca="false">COUNTIFS(Data!$U$2:$U$463,"&lt;0",Data!$AA$2:$AA$463,"&lt;&gt;full access")</f>
        <v>26</v>
      </c>
      <c r="F29" s="16" t="n">
        <f aca="false">COUNTIFS(Data!$U$2:$U$463,"&gt;0",Data!$AA$2:$AA$463,"&lt;&gt;full access")</f>
        <v>93</v>
      </c>
      <c r="G29" s="16" t="n">
        <f aca="false">SUM(B29:F29)</f>
        <v>231</v>
      </c>
      <c r="H29" s="16" t="str">
        <f aca="false">IF(G29=$B$5,"OK","Mismatch")</f>
        <v>OK</v>
      </c>
    </row>
    <row r="32" customFormat="false" ht="15" hidden="false" customHeight="false" outlineLevel="0" collapsed="false">
      <c r="A32" s="15" t="s">
        <v>349</v>
      </c>
    </row>
    <row r="33" customFormat="false" ht="19.5" hidden="false" customHeight="true" outlineLevel="0" collapsed="false">
      <c r="A33" s="5" t="s">
        <v>350</v>
      </c>
      <c r="B33" s="5" t="s">
        <v>351</v>
      </c>
      <c r="C33" s="5" t="s">
        <v>26</v>
      </c>
      <c r="E33" s="5" t="s">
        <v>352</v>
      </c>
      <c r="F33" s="5" t="s">
        <v>353</v>
      </c>
      <c r="G33" s="5" t="s">
        <v>318</v>
      </c>
    </row>
    <row r="34" customFormat="false" ht="15" hidden="false" customHeight="false" outlineLevel="0" collapsed="false">
      <c r="A34" s="16" t="s">
        <v>354</v>
      </c>
      <c r="B34" s="21" t="n">
        <f aca="false">COUNT(Data!$AB$2:$AB$463)</f>
        <v>165</v>
      </c>
      <c r="C34" s="16"/>
      <c r="E34" s="22" t="n">
        <v>-3</v>
      </c>
      <c r="F34" s="22" t="n">
        <v>-2.5</v>
      </c>
      <c r="G34" s="16" t="n">
        <f aca="false">COUNTIFS(Data!$AB$2:$AB$463,"&gt;="&amp;E34,Data!$AB$2:$AB$463,"&lt;"&amp;F34)</f>
        <v>0</v>
      </c>
      <c r="H34" s="23" t="str">
        <f aca="false">TEXT(E34,"0.0")&amp;" to "&amp;TEXT(F34,"0.0")</f>
        <v>-3.0 to -2.5</v>
      </c>
    </row>
    <row r="35" customFormat="false" ht="15" hidden="false" customHeight="false" outlineLevel="0" collapsed="false">
      <c r="A35" s="16" t="s">
        <v>355</v>
      </c>
      <c r="B35" s="20" t="n">
        <f aca="false">AVERAGE(Data!$AB$2:$AB$463)</f>
        <v>0.321165855345454</v>
      </c>
      <c r="C35" s="16"/>
      <c r="E35" s="22" t="n">
        <v>-2.5</v>
      </c>
      <c r="F35" s="22" t="n">
        <v>-2</v>
      </c>
      <c r="G35" s="16" t="n">
        <f aca="false">COUNTIFS(Data!$AB$2:$AB$463,"&gt;="&amp;E35,Data!$AB$2:$AB$463,"&lt;"&amp;F35)</f>
        <v>1</v>
      </c>
      <c r="H35" s="23" t="str">
        <f aca="false">TEXT(E35,"0.0")&amp;" to "&amp;TEXT(F35,"0.0")</f>
        <v>-2.5 to -2.0</v>
      </c>
    </row>
    <row r="36" customFormat="false" ht="15" hidden="false" customHeight="false" outlineLevel="0" collapsed="false">
      <c r="A36" s="16" t="s">
        <v>356</v>
      </c>
      <c r="B36" s="21" t="n">
        <f aca="false">COUNTIF(Data!$AB$2:$AB$463,"&gt;0")</f>
        <v>112</v>
      </c>
      <c r="C36" s="16"/>
      <c r="E36" s="22" t="n">
        <v>-2</v>
      </c>
      <c r="F36" s="22" t="n">
        <v>-1.5</v>
      </c>
      <c r="G36" s="16" t="n">
        <f aca="false">COUNTIFS(Data!$AB$2:$AB$463,"&gt;="&amp;E36,Data!$AB$2:$AB$463,"&lt;"&amp;F36)</f>
        <v>0</v>
      </c>
      <c r="H36" s="23" t="str">
        <f aca="false">TEXT(E36,"0.0")&amp;" to "&amp;TEXT(F36,"0.0")</f>
        <v>-2.0 to -1.5</v>
      </c>
    </row>
    <row r="37" customFormat="false" ht="15" hidden="false" customHeight="false" outlineLevel="0" collapsed="false">
      <c r="A37" s="16" t="s">
        <v>357</v>
      </c>
      <c r="B37" s="21" t="n">
        <f aca="false">COUNTIF(Data!$AB$2:$AB$463,"&lt;0")</f>
        <v>23</v>
      </c>
      <c r="C37" s="16"/>
      <c r="E37" s="22" t="n">
        <v>-1.5</v>
      </c>
      <c r="F37" s="22" t="n">
        <v>-1</v>
      </c>
      <c r="G37" s="16" t="n">
        <f aca="false">COUNTIFS(Data!$AB$2:$AB$463,"&gt;="&amp;E37,Data!$AB$2:$AB$463,"&lt;"&amp;F37)</f>
        <v>1</v>
      </c>
      <c r="H37" s="23" t="str">
        <f aca="false">TEXT(E37,"0.0")&amp;" to "&amp;TEXT(F37,"0.0")</f>
        <v>-1.5 to -1.0</v>
      </c>
    </row>
    <row r="38" customFormat="false" ht="15" hidden="false" customHeight="false" outlineLevel="0" collapsed="false">
      <c r="A38" s="16" t="s">
        <v>358</v>
      </c>
      <c r="B38" s="20" t="n">
        <f aca="false">MAX(Data!$AB$2:$AB$463)</f>
        <v>2.329253846</v>
      </c>
      <c r="C38" s="16" t="str">
        <f aca="false">INDEX(Data!$A$2:$A$463,MATCH(B38,Data!$AB$2:$AB$463,0))</f>
        <v>Morocco</v>
      </c>
      <c r="E38" s="22" t="n">
        <v>-1</v>
      </c>
      <c r="F38" s="22" t="n">
        <v>-0.5</v>
      </c>
      <c r="G38" s="16" t="n">
        <f aca="false">COUNTIFS(Data!$AB$2:$AB$463,"&gt;="&amp;E38,Data!$AB$2:$AB$463,"&lt;"&amp;F38)</f>
        <v>3</v>
      </c>
      <c r="H38" s="23" t="str">
        <f aca="false">TEXT(E38,"0.0")&amp;" to "&amp;TEXT(F38,"0.0")</f>
        <v>-1.0 to -0.5</v>
      </c>
    </row>
    <row r="39" customFormat="false" ht="15" hidden="false" customHeight="false" outlineLevel="0" collapsed="false">
      <c r="A39" s="16" t="s">
        <v>359</v>
      </c>
      <c r="B39" s="20" t="n">
        <f aca="false">MIN(Data!$AB$2:$AB$463)</f>
        <v>-2.488795602</v>
      </c>
      <c r="C39" s="16" t="str">
        <f aca="false">INDEX(Data!$A$2:$A$463,MATCH(B39,Data!$AB$2:$AB$463,0))</f>
        <v>South Sudan</v>
      </c>
      <c r="E39" s="22" t="n">
        <v>-0.5</v>
      </c>
      <c r="F39" s="22" t="n">
        <v>0</v>
      </c>
      <c r="G39" s="16" t="n">
        <f aca="false">COUNTIFS(Data!$AB$2:$AB$463,"&gt;="&amp;E39,Data!$AB$2:$AB$463,"&lt;"&amp;F39)</f>
        <v>18</v>
      </c>
      <c r="H39" s="23" t="str">
        <f aca="false">TEXT(E39,"0.0")&amp;" to "&amp;TEXT(F39,"0.0")</f>
        <v>-0.5 to 0.0</v>
      </c>
    </row>
    <row r="40" customFormat="false" ht="15" hidden="false" customHeight="false" outlineLevel="0" collapsed="false">
      <c r="E40" s="22" t="n">
        <v>0</v>
      </c>
      <c r="F40" s="22" t="n">
        <v>0.5</v>
      </c>
      <c r="G40" s="16" t="n">
        <f aca="false">COUNTIFS(Data!$AB$2:$AB$463,"&gt;="&amp;E40,Data!$AB$2:$AB$463,"&lt;"&amp;F40)</f>
        <v>89</v>
      </c>
      <c r="H40" s="23" t="str">
        <f aca="false">TEXT(E40,"0.0")&amp;" to "&amp;TEXT(F40,"0.0")</f>
        <v>0.0 to 0.5</v>
      </c>
    </row>
    <row r="41" customFormat="false" ht="15" hidden="false" customHeight="false" outlineLevel="0" collapsed="false">
      <c r="E41" s="22" t="n">
        <v>0.5</v>
      </c>
      <c r="F41" s="22" t="n">
        <v>1</v>
      </c>
      <c r="G41" s="16" t="n">
        <f aca="false">COUNTIFS(Data!$AB$2:$AB$463,"&gt;="&amp;E41,Data!$AB$2:$AB$463,"&lt;"&amp;F41)</f>
        <v>35</v>
      </c>
      <c r="H41" s="23" t="str">
        <f aca="false">TEXT(E41,"0.0")&amp;" to "&amp;TEXT(F41,"0.0")</f>
        <v>0.5 to 1.0</v>
      </c>
    </row>
    <row r="42" customFormat="false" ht="15" hidden="false" customHeight="false" outlineLevel="0" collapsed="false">
      <c r="E42" s="22" t="n">
        <v>1</v>
      </c>
      <c r="F42" s="22" t="n">
        <v>1.5</v>
      </c>
      <c r="G42" s="16" t="n">
        <f aca="false">COUNTIFS(Data!$AB$2:$AB$463,"&gt;="&amp;E42,Data!$AB$2:$AB$463,"&lt;"&amp;F42)</f>
        <v>14</v>
      </c>
      <c r="H42" s="23" t="str">
        <f aca="false">TEXT(E42,"0.0")&amp;" to "&amp;TEXT(F42,"0.0")</f>
        <v>1.0 to 1.5</v>
      </c>
    </row>
    <row r="43" customFormat="false" ht="15" hidden="false" customHeight="false" outlineLevel="0" collapsed="false">
      <c r="E43" s="22" t="n">
        <v>1.5</v>
      </c>
      <c r="F43" s="22" t="n">
        <v>2</v>
      </c>
      <c r="G43" s="16" t="n">
        <f aca="false">COUNTIFS(Data!$AB$2:$AB$463,"&gt;="&amp;E43,Data!$AB$2:$AB$463,"&lt;"&amp;F43)</f>
        <v>3</v>
      </c>
      <c r="H43" s="23" t="str">
        <f aca="false">TEXT(E43,"0.0")&amp;" to "&amp;TEXT(F43,"0.0")</f>
        <v>1.5 to 2.0</v>
      </c>
    </row>
    <row r="44" customFormat="false" ht="15" hidden="false" customHeight="false" outlineLevel="0" collapsed="false">
      <c r="E44" s="22" t="n">
        <v>2</v>
      </c>
      <c r="F44" s="22" t="n">
        <v>2.5</v>
      </c>
      <c r="G44" s="16" t="n">
        <f aca="false">COUNTIFS(Data!$AB$2:$AB$463,"&gt;="&amp;E44,Data!$AB$2:$AB$463,"&lt;"&amp;F44)</f>
        <v>1</v>
      </c>
      <c r="H44" s="23" t="str">
        <f aca="false">TEXT(E44,"0.0")&amp;" to "&amp;TEXT(F44,"0.0")</f>
        <v>2.0 to 2.5</v>
      </c>
    </row>
    <row r="45" customFormat="false" ht="15" hidden="false" customHeight="false" outlineLevel="0" collapsed="false">
      <c r="E45" s="22" t="n">
        <v>2.5</v>
      </c>
      <c r="F45" s="22" t="n">
        <v>3</v>
      </c>
      <c r="G45" s="16" t="n">
        <f aca="false">COUNTIFS(Data!$AB$2:$AB$463,"&gt;="&amp;E45,Data!$AB$2:$AB$463,"&lt;"&amp;F45)</f>
        <v>0</v>
      </c>
      <c r="H45" s="23" t="str">
        <f aca="false">TEXT(E45,"0.0")&amp;" to "&amp;TEXT(F45,"0.0")</f>
        <v>2.5 to 3.0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3"/>
  </cols>
  <sheetData>
    <row r="1" customFormat="false" ht="19.7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42" hidden="false" customHeight="true" outlineLevel="0" collapsed="false">
      <c r="A4" s="5" t="s">
        <v>28</v>
      </c>
      <c r="B4" s="5" t="s">
        <v>318</v>
      </c>
      <c r="C4" s="5" t="s">
        <v>362</v>
      </c>
      <c r="D4" s="5" t="s">
        <v>363</v>
      </c>
      <c r="E4" s="5" t="s">
        <v>364</v>
      </c>
      <c r="F4" s="5" t="s">
        <v>365</v>
      </c>
      <c r="G4" s="5" t="s">
        <v>74</v>
      </c>
      <c r="H4" s="5" t="s">
        <v>76</v>
      </c>
      <c r="I4" s="5" t="s">
        <v>78</v>
      </c>
    </row>
    <row r="5" customFormat="false" ht="15" hidden="false" customHeight="false" outlineLevel="0" collapsed="false">
      <c r="A5" s="17" t="s">
        <v>366</v>
      </c>
      <c r="B5" s="21" t="n">
        <f aca="false">COUNTIFS(Data!$B$2:$B$463,A5,Data!$R$2:$R$463,"&gt;=0")</f>
        <v>40</v>
      </c>
      <c r="C5" s="24" t="n">
        <f aca="false">SUMPRODUCT((Data!$B$2:$B$463=A5)*NOT(ISNUMBER(Data!$R$2:$R$463))*Data!$D$2:$D$463)/1000</f>
        <v>2247.53669587259</v>
      </c>
      <c r="D5" s="20" t="n">
        <f aca="false">IFERROR(AVERAGEIF(Data!$B$2:$B$463,A5,Data!$S$2:$S$463),"")</f>
        <v>0.2784349021875</v>
      </c>
      <c r="E5" s="20" t="n">
        <f aca="false">IFERROR(AVERAGEIF(Data!$B$2:$B$463,A5,Data!$T$2:$T$463),"")</f>
        <v>0.50779480175</v>
      </c>
      <c r="F5" s="20" t="n">
        <f aca="false">IFERROR(AVERAGEIF(Data!$B$2:$B$463,A5,Data!$U$2:$U$463),"")</f>
        <v>0.232957921185185</v>
      </c>
      <c r="G5" s="21" t="n">
        <f aca="false">COUNTIFS(Data!$B$2:$B$463,A5,Data!$Y$2:$Y$463,"full access")</f>
        <v>14</v>
      </c>
      <c r="H5" s="21" t="n">
        <f aca="false">COUNTIFS(Data!$B$2:$B$463,A5,Data!$Z$2:$Z$463,"full access")</f>
        <v>4</v>
      </c>
      <c r="I5" s="21" t="n">
        <f aca="false">COUNTIFS(Data!$B$2:$B$463,A5,Data!$AA$2:$AA$463,"full access")</f>
        <v>10</v>
      </c>
    </row>
    <row r="6" customFormat="false" ht="15" hidden="false" customHeight="false" outlineLevel="0" collapsed="false">
      <c r="A6" s="17" t="s">
        <v>367</v>
      </c>
      <c r="B6" s="21" t="n">
        <f aca="false">COUNTIFS(Data!$B$2:$B$463,A6,Data!$R$2:$R$463,"&gt;=0")</f>
        <v>64</v>
      </c>
      <c r="C6" s="24" t="n">
        <f aca="false">SUMPRODUCT((Data!$B$2:$B$463=A6)*NOT(ISNUMBER(Data!$R$2:$R$463))*Data!$D$2:$D$463)/1000</f>
        <v>1017.47681452869</v>
      </c>
      <c r="D6" s="20" t="n">
        <f aca="false">IFERROR(AVERAGEIF(Data!$B$2:$B$463,A6,Data!$S$2:$S$463),"")</f>
        <v>0.111685780698413</v>
      </c>
      <c r="E6" s="20" t="n">
        <f aca="false">IFERROR(AVERAGEIF(Data!$B$2:$B$463,A6,Data!$T$2:$T$463),"")</f>
        <v>0.224409708326531</v>
      </c>
      <c r="F6" s="20" t="n">
        <f aca="false">IFERROR(AVERAGEIF(Data!$B$2:$B$463,A6,Data!$U$2:$U$463),"")</f>
        <v>0.0469952164150944</v>
      </c>
      <c r="G6" s="21" t="n">
        <f aca="false">COUNTIFS(Data!$B$2:$B$463,A6,Data!$Y$2:$Y$463,"full access")</f>
        <v>37</v>
      </c>
      <c r="H6" s="21" t="n">
        <f aca="false">COUNTIFS(Data!$B$2:$B$463,A6,Data!$Z$2:$Z$463,"full access")</f>
        <v>23</v>
      </c>
      <c r="I6" s="21" t="n">
        <f aca="false">COUNTIFS(Data!$B$2:$B$463,A6,Data!$AA$2:$AA$463,"full access")</f>
        <v>31</v>
      </c>
    </row>
    <row r="7" customFormat="false" ht="15" hidden="false" customHeight="false" outlineLevel="0" collapsed="false">
      <c r="A7" s="17" t="s">
        <v>368</v>
      </c>
      <c r="B7" s="21" t="n">
        <f aca="false">COUNTIFS(Data!$B$2:$B$463,A7,Data!$R$2:$R$463,"&gt;=0")</f>
        <v>48</v>
      </c>
      <c r="C7" s="24" t="n">
        <f aca="false">SUMPRODUCT((Data!$B$2:$B$463=A7)*NOT(ISNUMBER(Data!$R$2:$R$463))*Data!$D$2:$D$463)/1000</f>
        <v>642.513166615392</v>
      </c>
      <c r="D7" s="20" t="n">
        <f aca="false">IFERROR(AVERAGEIF(Data!$B$2:$B$463,A7,Data!$S$2:$S$463),"")</f>
        <v>0.144424853489362</v>
      </c>
      <c r="E7" s="20" t="n">
        <f aca="false">IFERROR(AVERAGEIF(Data!$B$2:$B$463,A7,Data!$T$2:$T$463),"")</f>
        <v>0.680314496956522</v>
      </c>
      <c r="F7" s="20" t="n">
        <f aca="false">IFERROR(AVERAGEIF(Data!$B$2:$B$463,A7,Data!$U$2:$U$463),"")</f>
        <v>0.0715215944827587</v>
      </c>
      <c r="G7" s="21" t="n">
        <f aca="false">COUNTIFS(Data!$B$2:$B$463,A7,Data!$Y$2:$Y$463,"full access")</f>
        <v>6</v>
      </c>
      <c r="H7" s="21" t="n">
        <f aca="false">COUNTIFS(Data!$B$2:$B$463,A7,Data!$Z$2:$Z$463,"full access")</f>
        <v>0</v>
      </c>
      <c r="I7" s="21" t="n">
        <f aca="false">COUNTIFS(Data!$B$2:$B$463,A7,Data!$AA$2:$AA$463,"full access")</f>
        <v>9</v>
      </c>
    </row>
    <row r="8" customFormat="false" ht="15" hidden="false" customHeight="false" outlineLevel="0" collapsed="false">
      <c r="A8" s="17" t="s">
        <v>369</v>
      </c>
      <c r="B8" s="21" t="n">
        <f aca="false">COUNTIFS(Data!$B$2:$B$463,A8,Data!$R$2:$R$463,"&gt;=0")</f>
        <v>10</v>
      </c>
      <c r="C8" s="24" t="n">
        <f aca="false">SUMPRODUCT((Data!$B$2:$B$463=A8)*NOT(ISNUMBER(Data!$R$2:$R$463))*Data!$D$2:$D$463)/1000</f>
        <v>311.074204153</v>
      </c>
      <c r="D8" s="20" t="n">
        <f aca="false">IFERROR(AVERAGEIF(Data!$B$2:$B$463,A8,Data!$S$2:$S$463),"")</f>
        <v>0.3455630234</v>
      </c>
      <c r="E8" s="20" t="n">
        <f aca="false">IFERROR(AVERAGEIF(Data!$B$2:$B$463,A8,Data!$T$2:$T$463),"")</f>
        <v>0.736987229</v>
      </c>
      <c r="F8" s="20" t="n">
        <f aca="false">IFERROR(AVERAGEIF(Data!$B$2:$B$463,A8,Data!$U$2:$U$463),"")</f>
        <v>0.123978044999999</v>
      </c>
      <c r="G8" s="21" t="n">
        <f aca="false">COUNTIFS(Data!$B$2:$B$463,A8,Data!$Y$2:$Y$463,"full access")</f>
        <v>1</v>
      </c>
      <c r="H8" s="21" t="n">
        <f aca="false">COUNTIFS(Data!$B$2:$B$463,A8,Data!$Z$2:$Z$463,"full access")</f>
        <v>0</v>
      </c>
      <c r="I8" s="21" t="n">
        <f aca="false">COUNTIFS(Data!$B$2:$B$463,A8,Data!$AA$2:$AA$463,"full access")</f>
        <v>1</v>
      </c>
    </row>
    <row r="9" customFormat="false" ht="15" hidden="false" customHeight="false" outlineLevel="0" collapsed="false">
      <c r="A9" s="17" t="s">
        <v>370</v>
      </c>
      <c r="B9" s="21" t="n">
        <f aca="false">COUNTIFS(Data!$B$2:$B$463,A9,Data!$R$2:$R$463,"&gt;=0")</f>
        <v>5</v>
      </c>
      <c r="C9" s="24" t="n">
        <f aca="false">SUMPRODUCT((Data!$B$2:$B$463=A9)*NOT(ISNUMBER(Data!$R$2:$R$463))*Data!$D$2:$D$463)/1000</f>
        <v>368.869652548246</v>
      </c>
      <c r="D9" s="20" t="n">
        <f aca="false">IFERROR(AVERAGEIF(Data!$B$2:$B$463,A9,Data!$S$2:$S$463),"")</f>
        <v>0.0171583956000001</v>
      </c>
      <c r="E9" s="20" t="n">
        <f aca="false">IFERROR(AVERAGEIF(Data!$B$2:$B$463,A9,Data!$T$2:$T$463),"")</f>
        <v>0.142331310000001</v>
      </c>
      <c r="F9" s="20" t="n">
        <f aca="false">IFERROR(AVERAGEIF(Data!$B$2:$B$463,A9,Data!$U$2:$U$463),"")</f>
        <v>0.00203317350000063</v>
      </c>
      <c r="G9" s="21" t="n">
        <f aca="false">COUNTIFS(Data!$B$2:$B$463,A9,Data!$Y$2:$Y$463,"full access")</f>
        <v>2</v>
      </c>
      <c r="H9" s="21" t="n">
        <f aca="false">COUNTIFS(Data!$B$2:$B$463,A9,Data!$Z$2:$Z$463,"full access")</f>
        <v>1</v>
      </c>
      <c r="I9" s="21" t="n">
        <f aca="false">COUNTIFS(Data!$B$2:$B$463,A9,Data!$AA$2:$AA$463,"full access")</f>
        <v>3</v>
      </c>
    </row>
    <row r="10" customFormat="false" ht="15" hidden="false" customHeight="false" outlineLevel="0" collapsed="false">
      <c r="A10" s="17" t="s">
        <v>371</v>
      </c>
      <c r="B10" s="21" t="n">
        <f aca="false">COUNTIFS(Data!$B$2:$B$463,A10,Data!$R$2:$R$463,"&gt;=0")</f>
        <v>11</v>
      </c>
      <c r="C10" s="24" t="n">
        <f aca="false">SUMPRODUCT((Data!$B$2:$B$463=A10)*NOT(ISNUMBER(Data!$R$2:$R$463))*Data!$D$2:$D$463)/1000</f>
        <v>2082.3166832017</v>
      </c>
      <c r="D10" s="20" t="n">
        <f aca="false">IFERROR(AVERAGEIF(Data!$B$2:$B$463,A10,Data!$S$2:$S$463),"")</f>
        <v>0.480230400181818</v>
      </c>
      <c r="E10" s="20" t="n">
        <f aca="false">IFERROR(AVERAGEIF(Data!$B$2:$B$463,A10,Data!$T$2:$T$463),"")</f>
        <v>0.559144626727273</v>
      </c>
      <c r="F10" s="20" t="n">
        <f aca="false">IFERROR(AVERAGEIF(Data!$B$2:$B$463,A10,Data!$U$2:$U$463),"")</f>
        <v>0.26548867309091</v>
      </c>
      <c r="G10" s="21" t="n">
        <f aca="false">COUNTIFS(Data!$B$2:$B$463,A10,Data!$Y$2:$Y$463,"full access")</f>
        <v>0</v>
      </c>
      <c r="H10" s="21" t="n">
        <f aca="false">COUNTIFS(Data!$B$2:$B$463,A10,Data!$Z$2:$Z$463,"full access")</f>
        <v>0</v>
      </c>
      <c r="I10" s="21" t="n">
        <f aca="false">COUNTIFS(Data!$B$2:$B$463,A10,Data!$AA$2:$AA$463,"full access")</f>
        <v>0</v>
      </c>
    </row>
    <row r="11" customFormat="false" ht="15" hidden="false" customHeight="false" outlineLevel="0" collapsed="false">
      <c r="A11" s="17" t="s">
        <v>372</v>
      </c>
      <c r="B11" s="21" t="n">
        <f aca="false">COUNTIFS(Data!$B$2:$B$463,A11,Data!$R$2:$R$463,"&gt;=0")</f>
        <v>53</v>
      </c>
      <c r="C11" s="24" t="n">
        <f aca="false">SUMPRODUCT((Data!$B$2:$B$463=A11)*NOT(ISNUMBER(Data!$R$2:$R$463))*Data!$D$2:$D$463)/1000</f>
        <v>1124.0302442028</v>
      </c>
      <c r="D11" s="20" t="n">
        <f aca="false">IFERROR(AVERAGEIF(Data!$B$2:$B$463,A11,Data!$S$2:$S$463),"")</f>
        <v>0.559369392443396</v>
      </c>
      <c r="E11" s="20" t="n">
        <f aca="false">IFERROR(AVERAGEIF(Data!$B$2:$B$463,A11,Data!$T$2:$T$463),"")</f>
        <v>0.604083807346939</v>
      </c>
      <c r="F11" s="20" t="n">
        <f aca="false">IFERROR(AVERAGEIF(Data!$B$2:$B$463,A11,Data!$U$2:$U$463),"")</f>
        <v>0.26903404555102</v>
      </c>
      <c r="G11" s="21" t="n">
        <f aca="false">COUNTIFS(Data!$B$2:$B$463,A11,Data!$Y$2:$Y$463,"full access")</f>
        <v>2</v>
      </c>
      <c r="H11" s="21" t="n">
        <f aca="false">COUNTIFS(Data!$B$2:$B$463,A11,Data!$Z$2:$Z$463,"full access")</f>
        <v>1</v>
      </c>
      <c r="I11" s="21" t="n">
        <f aca="false">COUNTIFS(Data!$B$2:$B$463,A11,Data!$AA$2:$AA$463,"full access")</f>
        <v>1</v>
      </c>
    </row>
    <row r="12" customFormat="false" ht="15" hidden="false" customHeight="false" outlineLevel="0" collapsed="false">
      <c r="A12" s="25" t="s">
        <v>373</v>
      </c>
      <c r="B12" s="25" t="n">
        <f aca="false">SUM(B5:B11)</f>
        <v>231</v>
      </c>
      <c r="C12" s="26" t="n">
        <f aca="false">SUM(C5:C11)</f>
        <v>7793.81746112241</v>
      </c>
      <c r="D12" s="27" t="n">
        <f aca="false">AVERAGE(Data!$S$2:$S$463)</f>
        <v>0.276996082091703</v>
      </c>
      <c r="E12" s="27" t="n">
        <f aca="false">AVERAGE(Data!$T$2:$T$463)</f>
        <v>0.484454931712575</v>
      </c>
      <c r="F12" s="27" t="n">
        <f aca="false">AVERAGE(Data!$U$2:$U$463)</f>
        <v>0.154462636861879</v>
      </c>
      <c r="G12" s="25" t="n">
        <f aca="false">SUM(G5:G11)</f>
        <v>62</v>
      </c>
      <c r="H12" s="25" t="n">
        <f aca="false">SUM(H5:H11)</f>
        <v>29</v>
      </c>
      <c r="I12" s="25" t="n">
        <f aca="false">SUM(I5:I11)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2" t="s">
        <v>374</v>
      </c>
    </row>
    <row r="2" customFormat="false" ht="31.5" hidden="false" customHeight="true" outlineLevel="0" collapsed="false">
      <c r="A2" s="5" t="s">
        <v>26</v>
      </c>
      <c r="B2" s="5" t="s">
        <v>28</v>
      </c>
      <c r="C2" s="5" t="s">
        <v>62</v>
      </c>
      <c r="D2" s="5" t="s">
        <v>64</v>
      </c>
      <c r="E2" s="5" t="s">
        <v>362</v>
      </c>
    </row>
    <row r="3" customFormat="false" ht="15" hidden="false" customHeight="false" outlineLevel="0" collapsed="false">
      <c r="A3" s="4" t="str">
        <f aca="false">Data!A24</f>
        <v>Australia</v>
      </c>
      <c r="B3" s="4" t="str">
        <f aca="false">Data!B24</f>
        <v>East Asia &amp; Pacific</v>
      </c>
      <c r="C3" s="9" t="n">
        <f aca="false">Data!S24</f>
        <v>-3.87700000004543E-005</v>
      </c>
      <c r="D3" s="9" t="n">
        <f aca="false">Data!T24</f>
        <v>0</v>
      </c>
      <c r="E3" s="6" t="n">
        <f aca="false">Data!D25/1000</f>
        <v>25.49988086</v>
      </c>
    </row>
    <row r="4" customFormat="false" ht="15" hidden="false" customHeight="false" outlineLevel="0" collapsed="false">
      <c r="A4" s="4" t="str">
        <f aca="false">Data!A70</f>
        <v>Cambodia</v>
      </c>
      <c r="B4" s="4" t="str">
        <f aca="false">Data!B70</f>
        <v>East Asia &amp; Pacific</v>
      </c>
      <c r="C4" s="9" t="n">
        <f aca="false">Data!S70</f>
        <v>0.555207202</v>
      </c>
      <c r="D4" s="9" t="n">
        <f aca="false">Data!T70</f>
        <v>0.47120783</v>
      </c>
      <c r="E4" s="6" t="n">
        <f aca="false">Data!D71/1000</f>
        <v>16.7189707</v>
      </c>
    </row>
    <row r="5" customFormat="false" ht="15" hidden="false" customHeight="false" outlineLevel="0" collapsed="false">
      <c r="A5" s="4" t="str">
        <f aca="false">Data!A86</f>
        <v>China</v>
      </c>
      <c r="B5" s="4" t="str">
        <f aca="false">Data!B86</f>
        <v>East Asia &amp; Pacific</v>
      </c>
      <c r="C5" s="9" t="n">
        <f aca="false">Data!S86</f>
        <v>0.499693872</v>
      </c>
      <c r="D5" s="9" t="n">
        <f aca="false">Data!T86</f>
        <v>1.036409118</v>
      </c>
      <c r="E5" s="6" t="n">
        <f aca="false">Data!D87/1000</f>
        <v>1463.1405</v>
      </c>
    </row>
    <row r="6" customFormat="false" ht="15" hidden="false" customHeight="false" outlineLevel="0" collapsed="false">
      <c r="A6" s="4" t="str">
        <f aca="false">Data!A114</f>
        <v>Democratic People's Republic of Korea</v>
      </c>
      <c r="B6" s="4" t="str">
        <f aca="false">Data!B114</f>
        <v>East Asia &amp; Pacific</v>
      </c>
      <c r="C6" s="9" t="n">
        <f aca="false">Data!S114</f>
        <v>-0.274207736</v>
      </c>
      <c r="D6" s="9" t="n">
        <f aca="false">Data!T114</f>
        <v>-0.572668708000001</v>
      </c>
      <c r="E6" s="6" t="n">
        <f aca="false">Data!D115/1000</f>
        <v>25.77881445</v>
      </c>
    </row>
    <row r="7" customFormat="false" ht="15" hidden="false" customHeight="false" outlineLevel="0" collapsed="false">
      <c r="A7" s="4" t="str">
        <f aca="false">Data!A146</f>
        <v>Fiji</v>
      </c>
      <c r="B7" s="4" t="str">
        <f aca="false">Data!B146</f>
        <v>East Asia &amp; Pacific</v>
      </c>
      <c r="C7" s="9" t="n">
        <f aca="false">Data!S146</f>
        <v>0.00770131399999912</v>
      </c>
      <c r="D7" s="9" t="n">
        <f aca="false">Data!T146</f>
        <v>-0.0581006680000002</v>
      </c>
      <c r="E7" s="6" t="n">
        <f aca="false">Data!D147/1000</f>
        <v>0.8964439697</v>
      </c>
    </row>
    <row r="8" customFormat="false" ht="15" hidden="false" customHeight="false" outlineLevel="0" collapsed="false">
      <c r="A8" s="4" t="str">
        <f aca="false">Data!A196</f>
        <v>Indonesia</v>
      </c>
      <c r="B8" s="4" t="str">
        <f aca="false">Data!B196</f>
        <v>East Asia &amp; Pacific</v>
      </c>
      <c r="C8" s="9" t="n">
        <f aca="false">Data!S196</f>
        <v>0.777599330000001</v>
      </c>
      <c r="D8" s="9" t="n">
        <f aca="false">Data!T196</f>
        <v>1.007434238</v>
      </c>
      <c r="E8" s="6" t="n">
        <f aca="false">Data!D197/1000</f>
        <v>273.523625</v>
      </c>
    </row>
    <row r="9" customFormat="false" ht="15" hidden="false" customHeight="false" outlineLevel="0" collapsed="false">
      <c r="A9" s="4" t="str">
        <f aca="false">Data!A220</f>
        <v>Kiribati</v>
      </c>
      <c r="B9" s="4" t="str">
        <f aca="false">Data!B220</f>
        <v>East Asia &amp; Pacific</v>
      </c>
      <c r="C9" s="9" t="n">
        <f aca="false">Data!S220</f>
        <v>0.824564852</v>
      </c>
      <c r="D9" s="9" t="n">
        <f aca="false">Data!T220</f>
        <v>0.61438646</v>
      </c>
      <c r="E9" s="6" t="n">
        <f aca="false">Data!D221/1000</f>
        <v>0.1194459991</v>
      </c>
    </row>
    <row r="10" customFormat="false" ht="15" hidden="false" customHeight="false" outlineLevel="0" collapsed="false">
      <c r="A10" s="4" t="str">
        <f aca="false">Data!A226</f>
        <v>Lao People's Democratic Republic</v>
      </c>
      <c r="B10" s="4" t="str">
        <f aca="false">Data!B226</f>
        <v>East Asia &amp; Pacific</v>
      </c>
      <c r="C10" s="9" t="n">
        <f aca="false">Data!S226</f>
        <v>1.551834194</v>
      </c>
      <c r="D10" s="9" t="n">
        <f aca="false">Data!T226</f>
        <v>1.646654574</v>
      </c>
      <c r="E10" s="6" t="n">
        <f aca="false">Data!D227/1000</f>
        <v>7.275556152</v>
      </c>
    </row>
    <row r="11" customFormat="false" ht="15" hidden="false" customHeight="false" outlineLevel="0" collapsed="false">
      <c r="A11" s="4" t="str">
        <f aca="false">Data!A256</f>
        <v>Marshall Islands</v>
      </c>
      <c r="B11" s="4" t="str">
        <f aca="false">Data!B256</f>
        <v>East Asia &amp; Pacific</v>
      </c>
      <c r="C11" s="9" t="n">
        <f aca="false">Data!S256</f>
        <v>0.0459046720000004</v>
      </c>
      <c r="D11" s="9" t="n">
        <f aca="false">Data!T256</f>
        <v>0.0302719999999994</v>
      </c>
      <c r="E11" s="6" t="n">
        <f aca="false">Data!D257/1000</f>
        <v>0.05919400024</v>
      </c>
    </row>
    <row r="12" customFormat="false" ht="15" hidden="false" customHeight="false" outlineLevel="0" collapsed="false">
      <c r="A12" s="4" t="str">
        <f aca="false">Data!A272</f>
        <v>Mongolia</v>
      </c>
      <c r="B12" s="4" t="str">
        <f aca="false">Data!B272</f>
        <v>East Asia &amp; Pacific</v>
      </c>
      <c r="C12" s="9" t="n">
        <f aca="false">Data!S272</f>
        <v>0.936522636000001</v>
      </c>
      <c r="D12" s="9" t="n">
        <f aca="false">Data!T272</f>
        <v>1.795372626</v>
      </c>
      <c r="E12" s="6" t="n">
        <f aca="false">Data!D273/1000</f>
        <v>3.278291992</v>
      </c>
    </row>
    <row r="13" customFormat="false" ht="15" hidden="false" customHeight="false" outlineLevel="0" collapsed="false">
      <c r="A13" s="4" t="str">
        <f aca="false">Data!A282</f>
        <v>Myanmar</v>
      </c>
      <c r="B13" s="4" t="str">
        <f aca="false">Data!B282</f>
        <v>East Asia &amp; Pacific</v>
      </c>
      <c r="C13" s="9" t="n">
        <f aca="false">Data!S282</f>
        <v>2.026144282</v>
      </c>
      <c r="D13" s="9" t="n">
        <f aca="false">Data!T282</f>
        <v>2.23459023</v>
      </c>
      <c r="E13" s="6" t="n">
        <f aca="false">Data!D283/1000</f>
        <v>54.40979297</v>
      </c>
    </row>
    <row r="14" customFormat="false" ht="15" hidden="false" customHeight="false" outlineLevel="0" collapsed="false">
      <c r="A14" s="4" t="str">
        <f aca="false">Data!A294</f>
        <v>New Zealand</v>
      </c>
      <c r="B14" s="4" t="str">
        <f aca="false">Data!B294</f>
        <v>East Asia &amp; Pacific</v>
      </c>
      <c r="C14" s="9" t="n">
        <f aca="false">Data!S294</f>
        <v>7.89999998573876E-007</v>
      </c>
      <c r="D14" s="9" t="n">
        <f aca="false">Data!T294</f>
        <v>0</v>
      </c>
      <c r="E14" s="6" t="n">
        <f aca="false">Data!D295/1000</f>
        <v>4.82223291</v>
      </c>
    </row>
    <row r="15" customFormat="false" ht="15" hidden="false" customHeight="false" outlineLevel="0" collapsed="false">
      <c r="A15" s="4" t="str">
        <f aca="false">Data!A314</f>
        <v>Palau</v>
      </c>
      <c r="B15" s="4" t="str">
        <f aca="false">Data!B314</f>
        <v>East Asia &amp; Pacific</v>
      </c>
      <c r="C15" s="9" t="n">
        <f aca="false">Data!S314</f>
        <v>0.00547892999999817</v>
      </c>
      <c r="D15" s="9" t="n">
        <f aca="false">Data!T314</f>
        <v>0.0286227099999991</v>
      </c>
      <c r="E15" s="6" t="n">
        <f aca="false">Data!D315/1000</f>
        <v>0.01809199905</v>
      </c>
    </row>
    <row r="16" customFormat="false" ht="15" hidden="false" customHeight="false" outlineLevel="0" collapsed="false">
      <c r="A16" s="4" t="str">
        <f aca="false">Data!A318</f>
        <v>Papua New Guinea</v>
      </c>
      <c r="B16" s="4" t="str">
        <f aca="false">Data!B318</f>
        <v>East Asia &amp; Pacific</v>
      </c>
      <c r="C16" s="9" t="n">
        <f aca="false">Data!S318</f>
        <v>0.771701816000001</v>
      </c>
      <c r="D16" s="9" t="n">
        <f aca="false">Data!T318</f>
        <v>0.816142133999999</v>
      </c>
      <c r="E16" s="6" t="n">
        <f aca="false">Data!D319/1000</f>
        <v>8.947027344</v>
      </c>
    </row>
    <row r="17" customFormat="false" ht="15" hidden="false" customHeight="false" outlineLevel="0" collapsed="false">
      <c r="A17" s="4" t="str">
        <f aca="false">Data!A360</f>
        <v>Samoa</v>
      </c>
      <c r="B17" s="4" t="str">
        <f aca="false">Data!B360</f>
        <v>East Asia &amp; Pacific</v>
      </c>
      <c r="C17" s="9" t="n">
        <f aca="false">Data!S360</f>
        <v>0.103265438</v>
      </c>
      <c r="D17" s="9" t="n">
        <f aca="false">Data!T360</f>
        <v>0.0787814440000005</v>
      </c>
      <c r="E17" s="6" t="n">
        <f aca="false">Data!D361/1000</f>
        <v>0.1984100037</v>
      </c>
    </row>
    <row r="18" customFormat="false" ht="15" hidden="false" customHeight="false" outlineLevel="0" collapsed="false">
      <c r="A18" s="4" t="str">
        <f aca="false">Data!A384</f>
        <v>Solomon Islands</v>
      </c>
      <c r="B18" s="4" t="str">
        <f aca="false">Data!B384</f>
        <v>East Asia &amp; Pacific</v>
      </c>
      <c r="C18" s="9" t="n">
        <f aca="false">Data!S384</f>
        <v>-0.405778670000001</v>
      </c>
      <c r="D18" s="9" t="n">
        <f aca="false">Data!T384</f>
        <v>-0.72137414</v>
      </c>
      <c r="E18" s="6" t="n">
        <f aca="false">Data!D385/1000</f>
        <v>0.6868779907</v>
      </c>
    </row>
    <row r="19" customFormat="false" ht="15" hidden="false" customHeight="false" outlineLevel="0" collapsed="false">
      <c r="A19" s="4" t="str">
        <f aca="false">Data!A408</f>
        <v>Thailand</v>
      </c>
      <c r="B19" s="4" t="str">
        <f aca="false">Data!B408</f>
        <v>East Asia &amp; Pacific</v>
      </c>
      <c r="C19" s="9" t="n">
        <f aca="false">Data!S408</f>
        <v>0.148165883999999</v>
      </c>
      <c r="D19" s="9" t="n">
        <f aca="false">Data!T408</f>
        <v>0.224096657999999</v>
      </c>
      <c r="E19" s="6" t="n">
        <f aca="false">Data!D409/1000</f>
        <v>69.79997656</v>
      </c>
    </row>
    <row r="20" customFormat="false" ht="15" hidden="false" customHeight="false" outlineLevel="0" collapsed="false">
      <c r="A20" s="4" t="str">
        <f aca="false">Data!A410</f>
        <v>Timor-Leste</v>
      </c>
      <c r="B20" s="4" t="str">
        <f aca="false">Data!B410</f>
        <v>East Asia &amp; Pacific</v>
      </c>
      <c r="C20" s="9" t="n">
        <f aca="false">Data!S410</f>
        <v>2.049099498</v>
      </c>
      <c r="D20" s="9" t="n">
        <f aca="false">Data!T410</f>
        <v>2.305681174</v>
      </c>
      <c r="E20" s="6" t="n">
        <f aca="false">Data!D411/1000</f>
        <v>1.318442017</v>
      </c>
    </row>
    <row r="21" customFormat="false" ht="15" hidden="false" customHeight="false" outlineLevel="0" collapsed="false">
      <c r="A21" s="4" t="str">
        <f aca="false">Data!A414</f>
        <v>Tokelau</v>
      </c>
      <c r="B21" s="4" t="str">
        <f aca="false">Data!B414</f>
        <v>East Asia &amp; Pacific</v>
      </c>
      <c r="C21" s="9" t="n">
        <f aca="false">Data!S414</f>
        <v>0.0500561299999987</v>
      </c>
      <c r="D21" s="9" t="n">
        <f aca="false">Data!T414</f>
        <v>0.0500561299999987</v>
      </c>
      <c r="E21" s="6" t="n">
        <f aca="false">Data!D415/1000</f>
        <v>0.001350000024</v>
      </c>
    </row>
    <row r="22" customFormat="false" ht="15" hidden="false" customHeight="false" outlineLevel="0" collapsed="false">
      <c r="A22" s="4" t="str">
        <f aca="false">Data!A416</f>
        <v>Tonga</v>
      </c>
      <c r="B22" s="4" t="str">
        <f aca="false">Data!B416</f>
        <v>East Asia &amp; Pacific</v>
      </c>
      <c r="C22" s="9" t="n">
        <f aca="false">Data!S416</f>
        <v>0.036275096</v>
      </c>
      <c r="D22" s="9" t="n">
        <f aca="false">Data!T416</f>
        <v>0.0150060619999977</v>
      </c>
      <c r="E22" s="6" t="n">
        <f aca="false">Data!D417/1000</f>
        <v>0.1056969986</v>
      </c>
    </row>
    <row r="23" customFormat="false" ht="15" hidden="false" customHeight="false" outlineLevel="0" collapsed="false">
      <c r="A23" s="4" t="str">
        <f aca="false">Data!A428</f>
        <v>Tuvalu</v>
      </c>
      <c r="B23" s="4" t="str">
        <f aca="false">Data!B428</f>
        <v>East Asia &amp; Pacific</v>
      </c>
      <c r="C23" s="9" t="n">
        <f aca="false">Data!S428</f>
        <v>0</v>
      </c>
      <c r="D23" s="9" t="n">
        <f aca="false">Data!T428</f>
        <v>0</v>
      </c>
      <c r="E23" s="6" t="n">
        <f aca="false">Data!D429/1000</f>
        <v>0.01179199982</v>
      </c>
    </row>
    <row r="24" customFormat="false" ht="15" hidden="false" customHeight="false" outlineLevel="0" collapsed="false">
      <c r="A24" s="4" t="str">
        <f aca="false">Data!A448</f>
        <v>Vanuatu</v>
      </c>
      <c r="B24" s="4" t="str">
        <f aca="false">Data!B448</f>
        <v>East Asia &amp; Pacific</v>
      </c>
      <c r="C24" s="9" t="n">
        <f aca="false">Data!S448</f>
        <v>0.248602851999999</v>
      </c>
      <c r="D24" s="9" t="n">
        <f aca="false">Data!T448</f>
        <v>0.283830114</v>
      </c>
      <c r="E24" s="6" t="n">
        <f aca="false">Data!D449/1000</f>
        <v>0.3071499939</v>
      </c>
    </row>
    <row r="25" customFormat="false" ht="15" hidden="false" customHeight="false" outlineLevel="0" collapsed="false">
      <c r="A25" s="4" t="str">
        <f aca="false">Data!A452</f>
        <v>Viet Nam</v>
      </c>
      <c r="B25" s="4" t="str">
        <f aca="false">Data!B452</f>
        <v>East Asia &amp; Pacific</v>
      </c>
      <c r="C25" s="9" t="n">
        <f aca="false">Data!S452</f>
        <v>0.711259258000001</v>
      </c>
      <c r="D25" s="9" t="n">
        <f aca="false">Data!T452</f>
        <v>0.936294089999998</v>
      </c>
      <c r="E25" s="6" t="n">
        <f aca="false">Data!D453/1000</f>
        <v>97.33858594</v>
      </c>
    </row>
    <row r="26" customFormat="false" ht="15" hidden="false" customHeight="false" outlineLevel="0" collapsed="false">
      <c r="A26" s="4" t="str">
        <f aca="false">Data!A454</f>
        <v>Wallis and Futuna Islands</v>
      </c>
      <c r="B26" s="4" t="str">
        <f aca="false">Data!B454</f>
        <v>East Asia &amp; Pacific</v>
      </c>
      <c r="C26" s="9" t="n">
        <f aca="false">Data!S454</f>
        <v>-0.0356188339999989</v>
      </c>
      <c r="D26" s="9" t="n">
        <f aca="false">Data!T454</f>
        <v>-0.0356188339999989</v>
      </c>
      <c r="E26" s="6" t="n">
        <f aca="false">Data!D455/1000</f>
        <v>0.01124600029</v>
      </c>
    </row>
    <row r="27" customFormat="false" ht="15" hidden="false" customHeight="false" outlineLevel="0" collapsed="false">
      <c r="A27" s="4" t="str">
        <f aca="false">Data!A4</f>
        <v>Albania</v>
      </c>
      <c r="B27" s="4" t="str">
        <f aca="false">Data!B4</f>
        <v>Europe &amp; Central Asia</v>
      </c>
      <c r="C27" s="9" t="n">
        <f aca="false">Data!S4</f>
        <v>0.334742698000002</v>
      </c>
      <c r="D27" s="9" t="n">
        <f aca="false">Data!T4</f>
        <v>0.692816690000001</v>
      </c>
      <c r="E27" s="6" t="n">
        <f aca="false">Data!D5/1000</f>
        <v>2.877800049</v>
      </c>
    </row>
    <row r="28" customFormat="false" ht="15" hidden="false" customHeight="false" outlineLevel="0" collapsed="false">
      <c r="A28" s="4" t="str">
        <f aca="false">Data!A10</f>
        <v>Andorra</v>
      </c>
      <c r="B28" s="4" t="str">
        <f aca="false">Data!B10</f>
        <v>Europe &amp; Central Asia</v>
      </c>
      <c r="C28" s="9" t="n">
        <f aca="false">Data!S10</f>
        <v>1.22999999803142E-006</v>
      </c>
      <c r="D28" s="9" t="n">
        <f aca="false">Data!T10</f>
        <v>0</v>
      </c>
      <c r="E28" s="6" t="n">
        <f aca="false">Data!D11/1000</f>
        <v>0.07726499939</v>
      </c>
    </row>
    <row r="29" customFormat="false" ht="15" hidden="false" customHeight="false" outlineLevel="0" collapsed="false">
      <c r="A29" s="4" t="str">
        <f aca="false">Data!A20</f>
        <v>Armenia</v>
      </c>
      <c r="B29" s="4" t="str">
        <f aca="false">Data!B20</f>
        <v>Europe &amp; Central Asia</v>
      </c>
      <c r="C29" s="9" t="n">
        <f aca="false">Data!S20</f>
        <v>0.0837227979999995</v>
      </c>
      <c r="D29" s="9" t="n">
        <f aca="false">Data!T20</f>
        <v>0.189044146000001</v>
      </c>
      <c r="E29" s="6" t="n">
        <f aca="false">Data!D21/1000</f>
        <v>2.963233887</v>
      </c>
    </row>
    <row r="30" customFormat="false" ht="15" hidden="false" customHeight="false" outlineLevel="0" collapsed="false">
      <c r="A30" s="4" t="str">
        <f aca="false">Data!A26</f>
        <v>Austria</v>
      </c>
      <c r="B30" s="4" t="str">
        <f aca="false">Data!B26</f>
        <v>Europe &amp; Central Asia</v>
      </c>
      <c r="C30" s="9" t="n">
        <f aca="false">Data!S26</f>
        <v>0</v>
      </c>
      <c r="D30" s="9" t="n">
        <f aca="false">Data!T26</f>
        <v>0</v>
      </c>
      <c r="E30" s="6" t="n">
        <f aca="false">Data!D27/1000</f>
        <v>9.006400391</v>
      </c>
    </row>
    <row r="31" customFormat="false" ht="15" hidden="false" customHeight="false" outlineLevel="0" collapsed="false">
      <c r="A31" s="4" t="str">
        <f aca="false">Data!A28</f>
        <v>Azerbaijan</v>
      </c>
      <c r="B31" s="4" t="str">
        <f aca="false">Data!B28</f>
        <v>Europe &amp; Central Asia</v>
      </c>
      <c r="C31" s="9" t="n">
        <f aca="false">Data!S28</f>
        <v>0.724612429999999</v>
      </c>
      <c r="D31" s="9" t="n">
        <f aca="false">Data!T28</f>
        <v>1.356516936</v>
      </c>
      <c r="E31" s="6" t="n">
        <f aca="false">Data!D29/1000</f>
        <v>10.1391748</v>
      </c>
    </row>
    <row r="32" customFormat="false" ht="15" hidden="false" customHeight="false" outlineLevel="0" collapsed="false">
      <c r="A32" s="4" t="str">
        <f aca="false">Data!A38</f>
        <v>Belarus</v>
      </c>
      <c r="B32" s="4" t="str">
        <f aca="false">Data!B38</f>
        <v>Europe &amp; Central Asia</v>
      </c>
      <c r="C32" s="9" t="n">
        <f aca="false">Data!S38</f>
        <v>0.0115317979999986</v>
      </c>
      <c r="D32" s="9" t="n">
        <f aca="false">Data!T38</f>
        <v>0.0466901419999999</v>
      </c>
      <c r="E32" s="6" t="n">
        <f aca="false">Data!D39/1000</f>
        <v>9.449321289</v>
      </c>
    </row>
    <row r="33" customFormat="false" ht="15" hidden="false" customHeight="false" outlineLevel="0" collapsed="false">
      <c r="A33" s="4" t="str">
        <f aca="false">Data!A40</f>
        <v>Belgium</v>
      </c>
      <c r="B33" s="4" t="str">
        <f aca="false">Data!B40</f>
        <v>Europe &amp; Central Asia</v>
      </c>
      <c r="C33" s="9" t="n">
        <f aca="false">Data!S40</f>
        <v>-2.49999999368811E-007</v>
      </c>
      <c r="D33" s="9" t="n">
        <f aca="false">Data!T40</f>
        <v>0</v>
      </c>
      <c r="E33" s="6" t="n">
        <f aca="false">Data!D41/1000</f>
        <v>11.58961621</v>
      </c>
    </row>
    <row r="34" customFormat="false" ht="15" hidden="false" customHeight="false" outlineLevel="0" collapsed="false">
      <c r="A34" s="4" t="str">
        <f aca="false">Data!A52</f>
        <v>Bosnia and Herzegovina</v>
      </c>
      <c r="B34" s="4" t="str">
        <f aca="false">Data!B52</f>
        <v>Europe &amp; Central Asia</v>
      </c>
      <c r="C34" s="9" t="n">
        <f aca="false">Data!S52</f>
        <v>-0.00918931199999804</v>
      </c>
      <c r="D34" s="9" t="n">
        <f aca="false">Data!T52</f>
        <v>0</v>
      </c>
      <c r="E34" s="6" t="n">
        <f aca="false">Data!D53/1000</f>
        <v>3.280814941</v>
      </c>
    </row>
    <row r="35" customFormat="false" ht="15" hidden="false" customHeight="false" outlineLevel="0" collapsed="false">
      <c r="A35" s="4" t="str">
        <f aca="false">Data!A62</f>
        <v>Bulgaria</v>
      </c>
      <c r="B35" s="4" t="str">
        <f aca="false">Data!B62</f>
        <v>Europe &amp; Central Asia</v>
      </c>
      <c r="C35" s="9" t="n">
        <f aca="false">Data!S62</f>
        <v>-0.0369820739999994</v>
      </c>
      <c r="D35" s="9" t="n">
        <f aca="false">Data!T62</f>
        <v>-0.122970474000002</v>
      </c>
      <c r="E35" s="6" t="n">
        <f aca="false">Data!D63/1000</f>
        <v>6.948444824</v>
      </c>
    </row>
    <row r="36" customFormat="false" ht="15" hidden="false" customHeight="false" outlineLevel="0" collapsed="false">
      <c r="A36" s="4" t="str">
        <f aca="false">Data!A110</f>
        <v>Cyprus</v>
      </c>
      <c r="B36" s="4" t="str">
        <f aca="false">Data!B110</f>
        <v>Europe &amp; Central Asia</v>
      </c>
      <c r="C36" s="9" t="n">
        <f aca="false">Data!S110</f>
        <v>-0.00466887799999824</v>
      </c>
      <c r="D36" s="9" t="n">
        <f aca="false">Data!T110</f>
        <v>-0.00308476399999904</v>
      </c>
      <c r="E36" s="6" t="n">
        <f aca="false">Data!D111/1000</f>
        <v>1.207360962</v>
      </c>
    </row>
    <row r="37" customFormat="false" ht="15" hidden="false" customHeight="false" outlineLevel="0" collapsed="false">
      <c r="A37" s="4" t="str">
        <f aca="false">Data!A112</f>
        <v>Czech Republic</v>
      </c>
      <c r="B37" s="4" t="str">
        <f aca="false">Data!B112</f>
        <v>Europe &amp; Central Asia</v>
      </c>
      <c r="C37" s="9" t="n">
        <f aca="false">Data!S112</f>
        <v>9.97960000006515E-005</v>
      </c>
      <c r="D37" s="9" t="n">
        <f aca="false">Data!T112</f>
        <v>0</v>
      </c>
      <c r="E37" s="6" t="n">
        <f aca="false">Data!D113/1000</f>
        <v>10.70898242</v>
      </c>
    </row>
    <row r="38" customFormat="false" ht="15" hidden="false" customHeight="false" outlineLevel="0" collapsed="false">
      <c r="A38" s="4" t="str">
        <f aca="false">Data!A118</f>
        <v>Denmark</v>
      </c>
      <c r="B38" s="4" t="str">
        <f aca="false">Data!B118</f>
        <v>Europe &amp; Central Asia</v>
      </c>
      <c r="C38" s="9" t="n">
        <f aca="false">Data!S118</f>
        <v>6.50000001201079E-007</v>
      </c>
      <c r="D38" s="9" t="n">
        <f aca="false">Data!T118</f>
        <v>0</v>
      </c>
      <c r="E38" s="6" t="n">
        <f aca="false">Data!D119/1000</f>
        <v>5.792203125</v>
      </c>
    </row>
    <row r="39" customFormat="false" ht="15" hidden="false" customHeight="false" outlineLevel="0" collapsed="false">
      <c r="A39" s="4" t="str">
        <f aca="false">Data!A148</f>
        <v>Finland</v>
      </c>
      <c r="B39" s="4" t="str">
        <f aca="false">Data!B148</f>
        <v>Europe &amp; Central Asia</v>
      </c>
      <c r="C39" s="9" t="n">
        <f aca="false">Data!S148</f>
        <v>1.32800000187672E-006</v>
      </c>
      <c r="D39" s="9" t="n">
        <f aca="false">Data!T148</f>
        <v>0</v>
      </c>
      <c r="E39" s="6" t="n">
        <f aca="false">Data!D149/1000</f>
        <v>5.540717773</v>
      </c>
    </row>
    <row r="40" customFormat="false" ht="15" hidden="false" customHeight="false" outlineLevel="0" collapsed="false">
      <c r="A40" s="4" t="str">
        <f aca="false">Data!A150</f>
        <v>France</v>
      </c>
      <c r="B40" s="4" t="str">
        <f aca="false">Data!B150</f>
        <v>Europe &amp; Central Asia</v>
      </c>
      <c r="C40" s="9" t="n">
        <f aca="false">Data!S150</f>
        <v>-2.99999999242573E-007</v>
      </c>
      <c r="D40" s="9" t="n">
        <f aca="false">Data!T150</f>
        <v>0</v>
      </c>
      <c r="E40" s="6" t="n">
        <f aca="false">Data!D151/1000</f>
        <v>65.27351172</v>
      </c>
    </row>
    <row r="41" customFormat="false" ht="15" hidden="false" customHeight="false" outlineLevel="0" collapsed="false">
      <c r="A41" s="4" t="str">
        <f aca="false">Data!A160</f>
        <v>Georgia</v>
      </c>
      <c r="B41" s="4" t="str">
        <f aca="false">Data!B160</f>
        <v>Europe &amp; Central Asia</v>
      </c>
      <c r="C41" s="9" t="n">
        <f aca="false">Data!S160</f>
        <v>0.318682038</v>
      </c>
      <c r="D41" s="9" t="n">
        <f aca="false">Data!T160</f>
        <v>0.595346721999999</v>
      </c>
      <c r="E41" s="6" t="n">
        <f aca="false">Data!D161/1000</f>
        <v>3.989175049</v>
      </c>
    </row>
    <row r="42" customFormat="false" ht="15" hidden="false" customHeight="false" outlineLevel="0" collapsed="false">
      <c r="A42" s="4" t="str">
        <f aca="false">Data!A162</f>
        <v>Germany</v>
      </c>
      <c r="B42" s="4" t="str">
        <f aca="false">Data!B162</f>
        <v>Europe &amp; Central Asia</v>
      </c>
      <c r="C42" s="9" t="n">
        <f aca="false">Data!S162</f>
        <v>-1.99999988126365E-008</v>
      </c>
      <c r="D42" s="9" t="n">
        <f aca="false">Data!T162</f>
        <v>0</v>
      </c>
      <c r="E42" s="6" t="n">
        <f aca="false">Data!D163/1000</f>
        <v>83.78394531</v>
      </c>
    </row>
    <row r="43" customFormat="false" ht="15" hidden="false" customHeight="false" outlineLevel="0" collapsed="false">
      <c r="A43" s="4" t="str">
        <f aca="false">Data!A168</f>
        <v>Greece</v>
      </c>
      <c r="B43" s="4" t="str">
        <f aca="false">Data!B168</f>
        <v>Europe &amp; Central Asia</v>
      </c>
      <c r="C43" s="9" t="n">
        <f aca="false">Data!S168</f>
        <v>-4.59999998270177E-007</v>
      </c>
      <c r="D43" s="9" t="n">
        <f aca="false">Data!T168</f>
        <v>0</v>
      </c>
      <c r="E43" s="6" t="n">
        <f aca="false">Data!D169/1000</f>
        <v>10.42305566</v>
      </c>
    </row>
    <row r="44" customFormat="false" ht="15" hidden="false" customHeight="false" outlineLevel="0" collapsed="false">
      <c r="A44" s="4" t="str">
        <f aca="false">Data!A190</f>
        <v>Hungary</v>
      </c>
      <c r="B44" s="4" t="str">
        <f aca="false">Data!B190</f>
        <v>Europe &amp; Central Asia</v>
      </c>
      <c r="C44" s="9" t="n">
        <f aca="false">Data!S190</f>
        <v>0.00589370200000019</v>
      </c>
      <c r="D44" s="9" t="n">
        <f aca="false">Data!T190</f>
        <v>0.0199820560000006</v>
      </c>
      <c r="E44" s="6" t="n">
        <f aca="false">Data!D191/1000</f>
        <v>9.660349609</v>
      </c>
    </row>
    <row r="45" customFormat="false" ht="15" hidden="false" customHeight="false" outlineLevel="0" collapsed="false">
      <c r="A45" s="4" t="str">
        <f aca="false">Data!A192</f>
        <v>Iceland</v>
      </c>
      <c r="B45" s="4" t="str">
        <f aca="false">Data!B192</f>
        <v>Europe &amp; Central Asia</v>
      </c>
      <c r="C45" s="9" t="n">
        <f aca="false">Data!S192</f>
        <v>-1.01800000038565E-006</v>
      </c>
      <c r="D45" s="9" t="n">
        <f aca="false">Data!T192</f>
        <v>0</v>
      </c>
      <c r="E45" s="6" t="n">
        <f aca="false">Data!D193/1000</f>
        <v>0.34125</v>
      </c>
    </row>
    <row r="46" customFormat="false" ht="15" hidden="false" customHeight="false" outlineLevel="0" collapsed="false">
      <c r="A46" s="4" t="str">
        <f aca="false">Data!A202</f>
        <v>Ireland</v>
      </c>
      <c r="B46" s="4" t="str">
        <f aca="false">Data!B202</f>
        <v>Europe &amp; Central Asia</v>
      </c>
      <c r="C46" s="9" t="n">
        <f aca="false">Data!S202</f>
        <v>0.00551570400000117</v>
      </c>
      <c r="D46" s="9" t="n">
        <f aca="false">Data!T202</f>
        <v>0.0236209120000012</v>
      </c>
      <c r="E46" s="6" t="n">
        <f aca="false">Data!D203/1000</f>
        <v>4.937795898</v>
      </c>
    </row>
    <row r="47" customFormat="false" ht="15" hidden="false" customHeight="false" outlineLevel="0" collapsed="false">
      <c r="A47" s="4" t="str">
        <f aca="false">Data!A206</f>
        <v>Israel</v>
      </c>
      <c r="B47" s="4" t="str">
        <f aca="false">Data!B206</f>
        <v>Europe &amp; Central Asia</v>
      </c>
      <c r="C47" s="9" t="n">
        <f aca="false">Data!S206</f>
        <v>-2.99999999242573E-007</v>
      </c>
      <c r="D47" s="9" t="n">
        <f aca="false">Data!T206</f>
        <v>0</v>
      </c>
      <c r="E47" s="6" t="n">
        <f aca="false">Data!D207/1000</f>
        <v>8.655541016</v>
      </c>
    </row>
    <row r="48" customFormat="false" ht="15" hidden="false" customHeight="false" outlineLevel="0" collapsed="false">
      <c r="A48" s="4" t="str">
        <f aca="false">Data!A216</f>
        <v>Kazakhstan</v>
      </c>
      <c r="B48" s="4" t="str">
        <f aca="false">Data!B216</f>
        <v>Europe &amp; Central Asia</v>
      </c>
      <c r="C48" s="9" t="n">
        <f aca="false">Data!S216</f>
        <v>0.0819271820000012</v>
      </c>
      <c r="D48" s="9" t="n">
        <f aca="false">Data!T216</f>
        <v>0.2383509</v>
      </c>
      <c r="E48" s="6" t="n">
        <f aca="false">Data!D217/1000</f>
        <v>18.77670703</v>
      </c>
    </row>
    <row r="49" customFormat="false" ht="15" hidden="false" customHeight="false" outlineLevel="0" collapsed="false">
      <c r="A49" s="4" t="str">
        <f aca="false">Data!A224</f>
        <v>Kyrgyzstan</v>
      </c>
      <c r="B49" s="4" t="str">
        <f aca="false">Data!B224</f>
        <v>Europe &amp; Central Asia</v>
      </c>
      <c r="C49" s="9" t="n">
        <f aca="false">Data!S224</f>
        <v>0.651508794</v>
      </c>
      <c r="D49" s="9" t="n">
        <f aca="false">Data!T224</f>
        <v>0.830642272</v>
      </c>
      <c r="E49" s="6" t="n">
        <f aca="false">Data!D225/1000</f>
        <v>6.524190918</v>
      </c>
    </row>
    <row r="50" customFormat="false" ht="15" hidden="false" customHeight="false" outlineLevel="0" collapsed="false">
      <c r="A50" s="4" t="str">
        <f aca="false">Data!A228</f>
        <v>Latvia</v>
      </c>
      <c r="B50" s="4" t="str">
        <f aca="false">Data!B228</f>
        <v>Europe &amp; Central Asia</v>
      </c>
      <c r="C50" s="9" t="n">
        <f aca="false">Data!S228</f>
        <v>0.0514967740000003</v>
      </c>
      <c r="D50" s="9" t="n">
        <f aca="false">Data!T228</f>
        <v>0.144900826</v>
      </c>
      <c r="E50" s="6" t="n">
        <f aca="false">Data!D229/1000</f>
        <v>1.886202026</v>
      </c>
    </row>
    <row r="51" customFormat="false" ht="15" hidden="false" customHeight="false" outlineLevel="0" collapsed="false">
      <c r="A51" s="4" t="str">
        <f aca="false">Data!A240</f>
        <v>Lithuania</v>
      </c>
      <c r="B51" s="4" t="str">
        <f aca="false">Data!B240</f>
        <v>Europe &amp; Central Asia</v>
      </c>
      <c r="C51" s="9" t="n">
        <f aca="false">Data!S240</f>
        <v>0.281841732000001</v>
      </c>
      <c r="D51" s="9" t="n">
        <f aca="false">Data!T240</f>
        <v>0.612859164</v>
      </c>
      <c r="E51" s="6" t="n">
        <f aca="false">Data!D241/1000</f>
        <v>2.722291016</v>
      </c>
    </row>
    <row r="52" customFormat="false" ht="15" hidden="false" customHeight="false" outlineLevel="0" collapsed="false">
      <c r="A52" s="4" t="str">
        <f aca="false">Data!A242</f>
        <v>Luxembourg</v>
      </c>
      <c r="B52" s="4" t="str">
        <f aca="false">Data!B242</f>
        <v>Europe &amp; Central Asia</v>
      </c>
      <c r="C52" s="9" t="n">
        <f aca="false">Data!S242</f>
        <v>-0.00904762400000152</v>
      </c>
      <c r="D52" s="9" t="n">
        <f aca="false">Data!T242</f>
        <v>-0.128571428000001</v>
      </c>
      <c r="E52" s="6" t="n">
        <f aca="false">Data!D243/1000</f>
        <v>0.6259760132</v>
      </c>
    </row>
    <row r="53" customFormat="false" ht="15" hidden="false" customHeight="false" outlineLevel="0" collapsed="false">
      <c r="A53" s="4" t="str">
        <f aca="false">Data!A254</f>
        <v>Malta</v>
      </c>
      <c r="B53" s="4" t="str">
        <f aca="false">Data!B254</f>
        <v>Europe &amp; Central Asia</v>
      </c>
      <c r="C53" s="9" t="n">
        <f aca="false">Data!S254</f>
        <v>8.00000009348878E-008</v>
      </c>
      <c r="D53" s="9" t="n">
        <f aca="false">Data!T254</f>
        <v>0</v>
      </c>
      <c r="E53" s="6" t="n">
        <f aca="false">Data!D255/1000</f>
        <v>0.4415390015</v>
      </c>
    </row>
    <row r="54" customFormat="false" ht="15" hidden="false" customHeight="false" outlineLevel="0" collapsed="false">
      <c r="A54" s="4" t="str">
        <f aca="false">Data!A274</f>
        <v>Montenegro</v>
      </c>
      <c r="B54" s="4" t="str">
        <f aca="false">Data!B274</f>
        <v>Europe &amp; Central Asia</v>
      </c>
      <c r="C54" s="9" t="n">
        <f aca="false">Data!S274</f>
        <v>0.293124230000001</v>
      </c>
      <c r="D54" s="9" t="n">
        <f aca="false">Data!T274</f>
        <v>0.440245071999999</v>
      </c>
      <c r="E54" s="6" t="n">
        <f aca="false">Data!D275/1000</f>
        <v>0.6280620117</v>
      </c>
    </row>
    <row r="55" customFormat="false" ht="15" hidden="false" customHeight="false" outlineLevel="0" collapsed="false">
      <c r="A55" s="4" t="str">
        <f aca="false">Data!A290</f>
        <v>Netherlands</v>
      </c>
      <c r="B55" s="4" t="str">
        <f aca="false">Data!B290</f>
        <v>Europe &amp; Central Asia</v>
      </c>
      <c r="C55" s="9" t="n">
        <f aca="false">Data!S290</f>
        <v>1.46000002132496E-007</v>
      </c>
      <c r="D55" s="9" t="n">
        <f aca="false">Data!T290</f>
        <v>0</v>
      </c>
      <c r="E55" s="6" t="n">
        <f aca="false">Data!D291/1000</f>
        <v>17.13487305</v>
      </c>
    </row>
    <row r="56" customFormat="false" ht="15" hidden="false" customHeight="false" outlineLevel="0" collapsed="false">
      <c r="A56" s="4" t="str">
        <f aca="false">Data!A304</f>
        <v>North Macedonia</v>
      </c>
      <c r="B56" s="4" t="str">
        <f aca="false">Data!B304</f>
        <v>Europe &amp; Central Asia</v>
      </c>
      <c r="C56" s="9" t="n">
        <f aca="false">Data!S304</f>
        <v>0.0540965919999991</v>
      </c>
      <c r="D56" s="9" t="n">
        <f aca="false">Data!T304</f>
        <v>-0.0329037119999981</v>
      </c>
      <c r="E56" s="6" t="n">
        <f aca="false">Data!D305/1000</f>
        <v>2.083379883</v>
      </c>
    </row>
    <row r="57" customFormat="false" ht="15" hidden="false" customHeight="false" outlineLevel="0" collapsed="false">
      <c r="A57" s="4" t="str">
        <f aca="false">Data!A308</f>
        <v>Norway</v>
      </c>
      <c r="B57" s="4" t="str">
        <f aca="false">Data!B308</f>
        <v>Europe &amp; Central Asia</v>
      </c>
      <c r="C57" s="9" t="n">
        <f aca="false">Data!S308</f>
        <v>-1.14000000053238E-006</v>
      </c>
      <c r="D57" s="9" t="n">
        <f aca="false">Data!T308</f>
        <v>0</v>
      </c>
      <c r="E57" s="6" t="n">
        <f aca="false">Data!D309/1000</f>
        <v>5.421242188</v>
      </c>
    </row>
    <row r="58" customFormat="false" ht="15" hidden="false" customHeight="false" outlineLevel="0" collapsed="false">
      <c r="A58" s="4" t="str">
        <f aca="false">Data!A326</f>
        <v>Poland</v>
      </c>
      <c r="B58" s="4" t="str">
        <f aca="false">Data!B326</f>
        <v>Europe &amp; Central Asia</v>
      </c>
      <c r="C58" s="9" t="n">
        <f aca="false">Data!S326</f>
        <v>0.146904334000001</v>
      </c>
      <c r="D58" s="9" t="n">
        <f aca="false">Data!T326</f>
        <v>0.292419354</v>
      </c>
      <c r="E58" s="6" t="n">
        <f aca="false">Data!D327/1000</f>
        <v>37.84660547</v>
      </c>
    </row>
    <row r="59" customFormat="false" ht="15" hidden="false" customHeight="false" outlineLevel="0" collapsed="false">
      <c r="A59" s="4" t="str">
        <f aca="false">Data!A328</f>
        <v>Portugal</v>
      </c>
      <c r="B59" s="4" t="str">
        <f aca="false">Data!B328</f>
        <v>Europe &amp; Central Asia</v>
      </c>
      <c r="C59" s="9" t="n">
        <f aca="false">Data!S328</f>
        <v>0.00146076599999958</v>
      </c>
      <c r="D59" s="9" t="n">
        <f aca="false">Data!T328</f>
        <v>0</v>
      </c>
      <c r="E59" s="6" t="n">
        <f aca="false">Data!D329/1000</f>
        <v>10.19670703</v>
      </c>
    </row>
    <row r="60" customFormat="false" ht="15" hidden="false" customHeight="false" outlineLevel="0" collapsed="false">
      <c r="A60" s="4" t="str">
        <f aca="false">Data!A336</f>
        <v>Republic of Moldova</v>
      </c>
      <c r="B60" s="4" t="str">
        <f aca="false">Data!B336</f>
        <v>Europe &amp; Central Asia</v>
      </c>
      <c r="C60" s="9" t="n">
        <f aca="false">Data!S336</f>
        <v>0.398786067999998</v>
      </c>
      <c r="D60" s="9" t="n">
        <f aca="false">Data!T336</f>
        <v>0.587709473999999</v>
      </c>
      <c r="E60" s="6" t="n">
        <f aca="false">Data!D337/1000</f>
        <v>4.033962891</v>
      </c>
    </row>
    <row r="61" customFormat="false" ht="15" hidden="false" customHeight="false" outlineLevel="0" collapsed="false">
      <c r="A61" s="4" t="str">
        <f aca="false">Data!A340</f>
        <v>Romania</v>
      </c>
      <c r="B61" s="4" t="str">
        <f aca="false">Data!B340</f>
        <v>Europe &amp; Central Asia</v>
      </c>
      <c r="C61" s="9" t="n">
        <f aca="false">Data!S340</f>
        <v>0</v>
      </c>
      <c r="D61" s="9" t="n">
        <f aca="false">Data!T340</f>
        <v>0</v>
      </c>
      <c r="E61" s="6" t="n">
        <f aca="false">Data!D341/1000</f>
        <v>19.23768164</v>
      </c>
    </row>
    <row r="62" customFormat="false" ht="15" hidden="false" customHeight="false" outlineLevel="0" collapsed="false">
      <c r="A62" s="4" t="str">
        <f aca="false">Data!A342</f>
        <v>Russian Federation</v>
      </c>
      <c r="B62" s="4" t="str">
        <f aca="false">Data!B342</f>
        <v>Europe &amp; Central Asia</v>
      </c>
      <c r="C62" s="9" t="n">
        <f aca="false">Data!S342</f>
        <v>0.0930785280000009</v>
      </c>
      <c r="D62" s="9" t="n">
        <f aca="false">Data!T342</f>
        <v>0.286798590000001</v>
      </c>
      <c r="E62" s="6" t="n">
        <f aca="false">Data!D343/1000</f>
        <v>145.9344531</v>
      </c>
    </row>
    <row r="63" customFormat="false" ht="15" hidden="false" customHeight="false" outlineLevel="0" collapsed="false">
      <c r="A63" s="4" t="str">
        <f aca="false">Data!A370</f>
        <v>Serbia</v>
      </c>
      <c r="B63" s="4" t="str">
        <f aca="false">Data!B370</f>
        <v>Europe &amp; Central Asia</v>
      </c>
      <c r="C63" s="9" t="n">
        <f aca="false">Data!S370</f>
        <v>0.381814403999999</v>
      </c>
      <c r="D63" s="9" t="n">
        <f aca="false">Data!T370</f>
        <v>0.224289140000002</v>
      </c>
      <c r="E63" s="6" t="n">
        <f aca="false">Data!D371/1000</f>
        <v>8.737370117</v>
      </c>
    </row>
    <row r="64" customFormat="false" ht="15" hidden="false" customHeight="false" outlineLevel="0" collapsed="false">
      <c r="A64" s="4" t="str">
        <f aca="false">Data!A380</f>
        <v>Slovakia</v>
      </c>
      <c r="B64" s="4" t="str">
        <f aca="false">Data!B380</f>
        <v>Europe &amp; Central Asia</v>
      </c>
      <c r="C64" s="9" t="n">
        <f aca="false">Data!S380</f>
        <v>0.000101889999999116</v>
      </c>
      <c r="D64" s="9" t="n">
        <f aca="false">Data!T380</f>
        <v>0</v>
      </c>
      <c r="E64" s="6" t="n">
        <f aca="false">Data!D381/1000</f>
        <v>5.459643066</v>
      </c>
    </row>
    <row r="65" customFormat="false" ht="15" hidden="false" customHeight="false" outlineLevel="0" collapsed="false">
      <c r="A65" s="4" t="str">
        <f aca="false">Data!A392</f>
        <v>Spain</v>
      </c>
      <c r="B65" s="4" t="str">
        <f aca="false">Data!B392</f>
        <v>Europe &amp; Central Asia</v>
      </c>
      <c r="C65" s="9" t="n">
        <f aca="false">Data!S392</f>
        <v>-0.00022156999999936</v>
      </c>
      <c r="D65" s="9" t="n">
        <f aca="false">Data!T392</f>
        <v>0</v>
      </c>
      <c r="E65" s="6" t="n">
        <f aca="false">Data!D393/1000</f>
        <v>46.75478125</v>
      </c>
    </row>
    <row r="66" customFormat="false" ht="15" hidden="false" customHeight="false" outlineLevel="0" collapsed="false">
      <c r="A66" s="4" t="str">
        <f aca="false">Data!A400</f>
        <v>Sweden</v>
      </c>
      <c r="B66" s="4" t="str">
        <f aca="false">Data!B400</f>
        <v>Europe &amp; Central Asia</v>
      </c>
      <c r="C66" s="9" t="n">
        <f aca="false">Data!S400</f>
        <v>0.00912731999999892</v>
      </c>
      <c r="D66" s="9" t="n">
        <f aca="false">Data!T400</f>
        <v>0.0338776420000016</v>
      </c>
      <c r="E66" s="6" t="n">
        <f aca="false">Data!D401/1000</f>
        <v>10.09926953</v>
      </c>
    </row>
    <row r="67" customFormat="false" ht="15" hidden="false" customHeight="false" outlineLevel="0" collapsed="false">
      <c r="A67" s="4" t="str">
        <f aca="false">Data!A402</f>
        <v>Switzerland</v>
      </c>
      <c r="B67" s="4" t="str">
        <f aca="false">Data!B402</f>
        <v>Europe &amp; Central Asia</v>
      </c>
      <c r="C67" s="9" t="n">
        <f aca="false">Data!S402</f>
        <v>5.60000000859873E-007</v>
      </c>
      <c r="D67" s="9" t="n">
        <f aca="false">Data!T402</f>
        <v>0</v>
      </c>
      <c r="E67" s="6" t="n">
        <f aca="false">Data!D403/1000</f>
        <v>8.654618164</v>
      </c>
    </row>
    <row r="68" customFormat="false" ht="15" hidden="false" customHeight="false" outlineLevel="0" collapsed="false">
      <c r="A68" s="4" t="str">
        <f aca="false">Data!A406</f>
        <v>Tajikistan</v>
      </c>
      <c r="B68" s="4" t="str">
        <f aca="false">Data!B406</f>
        <v>Europe &amp; Central Asia</v>
      </c>
      <c r="C68" s="9" t="n">
        <f aca="false">Data!S406</f>
        <v>1.122583902</v>
      </c>
      <c r="D68" s="9" t="n">
        <f aca="false">Data!T406</f>
        <v>1.418283428</v>
      </c>
      <c r="E68" s="6" t="n">
        <f aca="false">Data!D407/1000</f>
        <v>9.537641602</v>
      </c>
    </row>
    <row r="69" customFormat="false" ht="15" hidden="false" customHeight="false" outlineLevel="0" collapsed="false">
      <c r="A69" s="4" t="str">
        <f aca="false">Data!A422</f>
        <v>Turkey</v>
      </c>
      <c r="B69" s="4" t="str">
        <f aca="false">Data!B422</f>
        <v>Europe &amp; Central Asia</v>
      </c>
      <c r="C69" s="9" t="n">
        <f aca="false">Data!S422</f>
        <v>0.151622007999998</v>
      </c>
      <c r="D69" s="9" t="n">
        <f aca="false">Data!T422</f>
        <v>0.364257356000002</v>
      </c>
      <c r="E69" s="6" t="n">
        <f aca="false">Data!D423/1000</f>
        <v>84.33907031</v>
      </c>
    </row>
    <row r="70" customFormat="false" ht="15" hidden="false" customHeight="false" outlineLevel="0" collapsed="false">
      <c r="A70" s="4" t="str">
        <f aca="false">Data!A424</f>
        <v>Turkmenistan</v>
      </c>
      <c r="B70" s="4" t="str">
        <f aca="false">Data!B424</f>
        <v>Europe &amp; Central Asia</v>
      </c>
      <c r="C70" s="9" t="n">
        <f aca="false">Data!S424</f>
        <v>0.468211138000001</v>
      </c>
      <c r="D70" s="9" t="n">
        <f aca="false">Data!T424</f>
        <v>0.756043367999999</v>
      </c>
      <c r="E70" s="6" t="n">
        <f aca="false">Data!D425/1000</f>
        <v>6.031187012</v>
      </c>
    </row>
    <row r="71" customFormat="false" ht="15" hidden="false" customHeight="false" outlineLevel="0" collapsed="false">
      <c r="A71" s="4" t="str">
        <f aca="false">Data!A432</f>
        <v>Ukraine</v>
      </c>
      <c r="B71" s="4" t="str">
        <f aca="false">Data!B432</f>
        <v>Europe &amp; Central Asia</v>
      </c>
      <c r="C71" s="9" t="n">
        <f aca="false">Data!S432</f>
        <v>0.0542750519999998</v>
      </c>
      <c r="D71" s="9" t="n">
        <f aca="false">Data!T432</f>
        <v>0.231377678000001</v>
      </c>
      <c r="E71" s="6" t="n">
        <f aca="false">Data!D433/1000</f>
        <v>43.73375781</v>
      </c>
    </row>
    <row r="72" customFormat="false" ht="15" hidden="false" customHeight="false" outlineLevel="0" collapsed="false">
      <c r="A72" s="4" t="str">
        <f aca="false">Data!A436</f>
        <v>United Kingdom</v>
      </c>
      <c r="B72" s="4" t="str">
        <f aca="false">Data!B436</f>
        <v>Europe &amp; Central Asia</v>
      </c>
      <c r="C72" s="9" t="n">
        <f aca="false">Data!S436</f>
        <v>-5.88000000334432E-007</v>
      </c>
      <c r="D72" s="9" t="n">
        <f aca="false">Data!T436</f>
        <v>0</v>
      </c>
      <c r="E72" s="6" t="n">
        <f aca="false">Data!D437/1000</f>
        <v>67.88600781</v>
      </c>
    </row>
    <row r="73" customFormat="false" ht="15" hidden="false" customHeight="false" outlineLevel="0" collapsed="false">
      <c r="A73" s="4" t="str">
        <f aca="false">Data!A446</f>
        <v>Uzbekistan</v>
      </c>
      <c r="B73" s="4" t="str">
        <f aca="false">Data!B446</f>
        <v>Europe &amp; Central Asia</v>
      </c>
      <c r="C73" s="9" t="n">
        <f aca="false">Data!S446</f>
        <v>0.0600413180000004</v>
      </c>
      <c r="D73" s="9" t="n">
        <f aca="false">Data!T446</f>
        <v>0.0860381619999998</v>
      </c>
      <c r="E73" s="6" t="n">
        <f aca="false">Data!D447/1000</f>
        <v>33.46919922</v>
      </c>
    </row>
    <row r="74" customFormat="false" ht="15" hidden="false" customHeight="false" outlineLevel="0" collapsed="false">
      <c r="A74" s="4" t="str">
        <f aca="false">Data!A456</f>
        <v>West Bank and Gaza Strip</v>
      </c>
      <c r="B74" s="4" t="str">
        <f aca="false">Data!B456</f>
        <v>Europe &amp; Central Asia</v>
      </c>
      <c r="C74" s="9" t="n">
        <f aca="false">Data!S456</f>
        <v>0.300108102000002</v>
      </c>
      <c r="D74" s="9" t="n">
        <f aca="false">Data!T456</f>
        <v>0.666882813999999</v>
      </c>
      <c r="E74" s="6" t="n">
        <f aca="false">Data!D457/1000</f>
        <v>5.101416016</v>
      </c>
    </row>
    <row r="75" customFormat="false" ht="15" hidden="false" customHeight="false" outlineLevel="0" collapsed="false">
      <c r="A75" s="4" t="str">
        <f aca="false">Data!A458</f>
        <v>Yemen</v>
      </c>
      <c r="B75" s="4" t="str">
        <f aca="false">Data!B458</f>
        <v>Europe &amp; Central Asia</v>
      </c>
      <c r="C75" s="9" t="n">
        <f aca="false">Data!S458</f>
        <v>0.976940242000001</v>
      </c>
      <c r="D75" s="9" t="n">
        <f aca="false">Data!T458</f>
        <v>1.144613242</v>
      </c>
      <c r="E75" s="6" t="n">
        <f aca="false">Data!D459/1000</f>
        <v>29.82596875</v>
      </c>
    </row>
    <row r="76" customFormat="false" ht="15" hidden="false" customHeight="false" outlineLevel="0" collapsed="false">
      <c r="A76" s="4" t="str">
        <f aca="false">Data!A42</f>
        <v>Belize</v>
      </c>
      <c r="B76" s="4" t="str">
        <f aca="false">Data!B42</f>
        <v>Latin America &amp; Caribbean</v>
      </c>
      <c r="C76" s="9" t="n">
        <f aca="false">Data!S42</f>
        <v>0.245271930000001</v>
      </c>
      <c r="D76" s="9" t="n">
        <f aca="false">Data!T42</f>
        <v>0.468275104</v>
      </c>
      <c r="E76" s="6" t="n">
        <f aca="false">Data!D43/1000</f>
        <v>0.3976210022</v>
      </c>
    </row>
    <row r="77" customFormat="false" ht="15" hidden="false" customHeight="false" outlineLevel="0" collapsed="false">
      <c r="A77" s="4" t="str">
        <f aca="false">Data!A50</f>
        <v>Bolivia (Plurinational State of)</v>
      </c>
      <c r="B77" s="4" t="str">
        <f aca="false">Data!B50</f>
        <v>Latin America &amp; Caribbean</v>
      </c>
      <c r="C77" s="9" t="n">
        <f aca="false">Data!S50</f>
        <v>0.585586124</v>
      </c>
      <c r="D77" s="9" t="n">
        <f aca="false">Data!T50</f>
        <v>1.239292526</v>
      </c>
      <c r="E77" s="6" t="n">
        <f aca="false">Data!D51/1000</f>
        <v>11.6730293</v>
      </c>
    </row>
    <row r="78" customFormat="false" ht="15" hidden="false" customHeight="false" outlineLevel="0" collapsed="false">
      <c r="A78" s="4" t="str">
        <f aca="false">Data!A56</f>
        <v>Brazil</v>
      </c>
      <c r="B78" s="4" t="str">
        <f aca="false">Data!B56</f>
        <v>Latin America &amp; Caribbean</v>
      </c>
      <c r="C78" s="9" t="n">
        <f aca="false">Data!S56</f>
        <v>0.303457080000001</v>
      </c>
      <c r="D78" s="9" t="n">
        <f aca="false">Data!T56</f>
        <v>1.43784627</v>
      </c>
      <c r="E78" s="6" t="n">
        <f aca="false">Data!D57/1000</f>
        <v>212.5594063</v>
      </c>
    </row>
    <row r="79" customFormat="false" ht="15" hidden="false" customHeight="false" outlineLevel="0" collapsed="false">
      <c r="A79" s="4" t="str">
        <f aca="false">Data!A84</f>
        <v>Chile</v>
      </c>
      <c r="B79" s="4" t="str">
        <f aca="false">Data!B84</f>
        <v>Latin America &amp; Caribbean</v>
      </c>
      <c r="C79" s="9" t="n">
        <f aca="false">Data!S84</f>
        <v>0.0987011999999993</v>
      </c>
      <c r="D79" s="9" t="n">
        <f aca="false">Data!T84</f>
        <v>0.586460299999999</v>
      </c>
      <c r="E79" s="6" t="n">
        <f aca="false">Data!D85/1000</f>
        <v>19.11620898</v>
      </c>
    </row>
    <row r="80" customFormat="false" ht="15" hidden="false" customHeight="false" outlineLevel="0" collapsed="false">
      <c r="A80" s="4" t="str">
        <f aca="false">Data!A92</f>
        <v>Colombia</v>
      </c>
      <c r="B80" s="4" t="str">
        <f aca="false">Data!B92</f>
        <v>Latin America &amp; Caribbean</v>
      </c>
      <c r="C80" s="9" t="n">
        <f aca="false">Data!S92</f>
        <v>0.231157798000001</v>
      </c>
      <c r="D80" s="9" t="n">
        <f aca="false">Data!T92</f>
        <v>0.698669393999998</v>
      </c>
      <c r="E80" s="6" t="n">
        <f aca="false">Data!D93/1000</f>
        <v>50.88288281</v>
      </c>
    </row>
    <row r="81" customFormat="false" ht="15" hidden="false" customHeight="false" outlineLevel="0" collapsed="false">
      <c r="A81" s="4" t="str">
        <f aca="false">Data!A100</f>
        <v>Costa Rica</v>
      </c>
      <c r="B81" s="4" t="str">
        <f aca="false">Data!B100</f>
        <v>Latin America &amp; Caribbean</v>
      </c>
      <c r="C81" s="9" t="n">
        <f aca="false">Data!S100</f>
        <v>0.0863700219999998</v>
      </c>
      <c r="D81" s="9" t="n">
        <f aca="false">Data!T100</f>
        <v>0.292043501999999</v>
      </c>
      <c r="E81" s="6" t="n">
        <f aca="false">Data!D101/1000</f>
        <v>5.09411377</v>
      </c>
    </row>
    <row r="82" customFormat="false" ht="15" hidden="false" customHeight="false" outlineLevel="0" collapsed="false">
      <c r="A82" s="4" t="str">
        <f aca="false">Data!A106</f>
        <v>Cuba</v>
      </c>
      <c r="B82" s="4" t="str">
        <f aca="false">Data!B106</f>
        <v>Latin America &amp; Caribbean</v>
      </c>
      <c r="C82" s="9" t="n">
        <f aca="false">Data!S106</f>
        <v>0.226179937999999</v>
      </c>
      <c r="D82" s="9" t="n">
        <f aca="false">Data!T106</f>
        <v>0.788318096000001</v>
      </c>
      <c r="E82" s="6" t="n">
        <f aca="false">Data!D107/1000</f>
        <v>11.32661621</v>
      </c>
    </row>
    <row r="83" customFormat="false" ht="15" hidden="false" customHeight="false" outlineLevel="0" collapsed="false">
      <c r="A83" s="4" t="str">
        <f aca="false">Data!A124</f>
        <v>Dominican Republic</v>
      </c>
      <c r="B83" s="4" t="str">
        <f aca="false">Data!B124</f>
        <v>Latin America &amp; Caribbean</v>
      </c>
      <c r="C83" s="9" t="n">
        <f aca="false">Data!S124</f>
        <v>0.117494683999999</v>
      </c>
      <c r="D83" s="9" t="n">
        <f aca="false">Data!T124</f>
        <v>0.218684118000002</v>
      </c>
      <c r="E83" s="6" t="n">
        <f aca="false">Data!D125/1000</f>
        <v>10.8479043</v>
      </c>
    </row>
    <row r="84" customFormat="false" ht="15" hidden="false" customHeight="false" outlineLevel="0" collapsed="false">
      <c r="A84" s="4" t="str">
        <f aca="false">Data!A126</f>
        <v>Ecuador</v>
      </c>
      <c r="B84" s="4" t="str">
        <f aca="false">Data!B126</f>
        <v>Latin America &amp; Caribbean</v>
      </c>
      <c r="C84" s="9" t="n">
        <f aca="false">Data!S126</f>
        <v>0.459196812000002</v>
      </c>
      <c r="D84" s="9" t="n">
        <f aca="false">Data!T126</f>
        <v>0.899652599999999</v>
      </c>
      <c r="E84" s="6" t="n">
        <f aca="false">Data!D127/1000</f>
        <v>17.64306055</v>
      </c>
    </row>
    <row r="85" customFormat="false" ht="15" hidden="false" customHeight="false" outlineLevel="0" collapsed="false">
      <c r="A85" s="4" t="str">
        <f aca="false">Data!A130</f>
        <v>El Salvador</v>
      </c>
      <c r="B85" s="4" t="str">
        <f aca="false">Data!B130</f>
        <v>Latin America &amp; Caribbean</v>
      </c>
      <c r="C85" s="9" t="n">
        <f aca="false">Data!S130</f>
        <v>0.476887533999999</v>
      </c>
      <c r="D85" s="9" t="n">
        <f aca="false">Data!T130</f>
        <v>1.098636152</v>
      </c>
      <c r="E85" s="6" t="n">
        <f aca="false">Data!D131/1000</f>
        <v>6.486201172</v>
      </c>
    </row>
    <row r="86" customFormat="false" ht="15" hidden="false" customHeight="false" outlineLevel="0" collapsed="false">
      <c r="A86" s="4" t="str">
        <f aca="false">Data!A144</f>
        <v>Falkland Islands (Malvinas)</v>
      </c>
      <c r="B86" s="4" t="str">
        <f aca="false">Data!B144</f>
        <v>Latin America &amp; Caribbean</v>
      </c>
      <c r="C86" s="9" t="n">
        <f aca="false">Data!S144</f>
        <v>0.0977841479999995</v>
      </c>
      <c r="D86" s="9" t="n">
        <f aca="false">Data!T144</f>
        <v>0</v>
      </c>
      <c r="E86" s="6" t="n">
        <f aca="false">Data!D145/1000</f>
        <v>0.00348300004</v>
      </c>
    </row>
    <row r="87" customFormat="false" ht="15" hidden="false" customHeight="false" outlineLevel="0" collapsed="false">
      <c r="A87" s="4" t="str">
        <f aca="false">Data!A178</f>
        <v>Guatemala</v>
      </c>
      <c r="B87" s="4" t="str">
        <f aca="false">Data!B178</f>
        <v>Latin America &amp; Caribbean</v>
      </c>
      <c r="C87" s="9" t="n">
        <f aca="false">Data!S178</f>
        <v>0.374478884000001</v>
      </c>
      <c r="D87" s="9" t="n">
        <f aca="false">Data!T178</f>
        <v>0.575314724</v>
      </c>
      <c r="E87" s="6" t="n">
        <f aca="false">Data!D179/1000</f>
        <v>17.91556641</v>
      </c>
    </row>
    <row r="88" customFormat="false" ht="15" hidden="false" customHeight="false" outlineLevel="0" collapsed="false">
      <c r="A88" s="4" t="str">
        <f aca="false">Data!A184</f>
        <v>Guyana</v>
      </c>
      <c r="B88" s="4" t="str">
        <f aca="false">Data!B184</f>
        <v>Latin America &amp; Caribbean</v>
      </c>
      <c r="C88" s="9" t="n">
        <f aca="false">Data!S184</f>
        <v>0.078589980000001</v>
      </c>
      <c r="D88" s="9" t="n">
        <f aca="false">Data!T184</f>
        <v>0.101144158</v>
      </c>
      <c r="E88" s="6" t="n">
        <f aca="false">Data!D185/1000</f>
        <v>0.786559021</v>
      </c>
    </row>
    <row r="89" customFormat="false" ht="15" hidden="false" customHeight="false" outlineLevel="0" collapsed="false">
      <c r="A89" s="4" t="str">
        <f aca="false">Data!A188</f>
        <v>Honduras</v>
      </c>
      <c r="B89" s="4" t="str">
        <f aca="false">Data!B188</f>
        <v>Latin America &amp; Caribbean</v>
      </c>
      <c r="C89" s="9" t="n">
        <f aca="false">Data!S188</f>
        <v>0.486962084000001</v>
      </c>
      <c r="D89" s="9" t="n">
        <f aca="false">Data!T188</f>
        <v>0.68774516</v>
      </c>
      <c r="E89" s="6" t="n">
        <f aca="false">Data!D189/1000</f>
        <v>9.904608398</v>
      </c>
    </row>
    <row r="90" customFormat="false" ht="15" hidden="false" customHeight="false" outlineLevel="0" collapsed="false">
      <c r="A90" s="4" t="str">
        <f aca="false">Data!A210</f>
        <v>Jamaica</v>
      </c>
      <c r="B90" s="4" t="str">
        <f aca="false">Data!B210</f>
        <v>Latin America &amp; Caribbean</v>
      </c>
      <c r="C90" s="9" t="n">
        <f aca="false">Data!S210</f>
        <v>0.122629642000001</v>
      </c>
      <c r="D90" s="9" t="n">
        <f aca="false">Data!T210</f>
        <v>0.179840451999999</v>
      </c>
      <c r="E90" s="6" t="n">
        <f aca="false">Data!D211/1000</f>
        <v>2.961160889</v>
      </c>
    </row>
    <row r="91" customFormat="false" ht="15" hidden="false" customHeight="false" outlineLevel="0" collapsed="false">
      <c r="A91" s="4" t="str">
        <f aca="false">Data!A266</f>
        <v>Mexico</v>
      </c>
      <c r="B91" s="4" t="str">
        <f aca="false">Data!B266</f>
        <v>Latin America &amp; Caribbean</v>
      </c>
      <c r="C91" s="9" t="n">
        <f aca="false">Data!S266</f>
        <v>0.330824948</v>
      </c>
      <c r="D91" s="9" t="n">
        <f aca="false">Data!T266</f>
        <v>1.01007498</v>
      </c>
      <c r="E91" s="6" t="n">
        <f aca="false">Data!D267/1000</f>
        <v>128.93275</v>
      </c>
    </row>
    <row r="92" customFormat="false" ht="15" hidden="false" customHeight="false" outlineLevel="0" collapsed="false">
      <c r="A92" s="4" t="str">
        <f aca="false">Data!A296</f>
        <v>Nicaragua</v>
      </c>
      <c r="B92" s="4" t="str">
        <f aca="false">Data!B296</f>
        <v>Latin America &amp; Caribbean</v>
      </c>
      <c r="C92" s="9" t="n">
        <f aca="false">Data!S296</f>
        <v>0.0711250519999993</v>
      </c>
      <c r="D92" s="9" t="n">
        <f aca="false">Data!T296</f>
        <v>-0.0794422420000004</v>
      </c>
      <c r="E92" s="6" t="n">
        <f aca="false">Data!D297/1000</f>
        <v>6.624554199</v>
      </c>
    </row>
    <row r="93" customFormat="false" ht="15" hidden="false" customHeight="false" outlineLevel="0" collapsed="false">
      <c r="A93" s="4" t="str">
        <f aca="false">Data!A316</f>
        <v>Panama</v>
      </c>
      <c r="B93" s="4" t="str">
        <f aca="false">Data!B316</f>
        <v>Latin America &amp; Caribbean</v>
      </c>
      <c r="C93" s="9" t="n">
        <f aca="false">Data!S316</f>
        <v>0.293635750000001</v>
      </c>
      <c r="D93" s="9" t="n">
        <f aca="false">Data!T316</f>
        <v>0.528700746000001</v>
      </c>
      <c r="E93" s="6" t="n">
        <f aca="false">Data!D317/1000</f>
        <v>4.314768066</v>
      </c>
    </row>
    <row r="94" customFormat="false" ht="15" hidden="false" customHeight="false" outlineLevel="0" collapsed="false">
      <c r="A94" s="4" t="str">
        <f aca="false">Data!A320</f>
        <v>Paraguay</v>
      </c>
      <c r="B94" s="4" t="str">
        <f aca="false">Data!B320</f>
        <v>Latin America &amp; Caribbean</v>
      </c>
      <c r="C94" s="9" t="n">
        <f aca="false">Data!S320</f>
        <v>0.551450359999998</v>
      </c>
      <c r="D94" s="9" t="n">
        <f aca="false">Data!T320</f>
        <v>1.153305448</v>
      </c>
      <c r="E94" s="6" t="n">
        <f aca="false">Data!D321/1000</f>
        <v>7.132529785</v>
      </c>
    </row>
    <row r="95" customFormat="false" ht="15" hidden="false" customHeight="false" outlineLevel="0" collapsed="false">
      <c r="A95" s="4" t="str">
        <f aca="false">Data!A322</f>
        <v>Peru</v>
      </c>
      <c r="B95" s="4" t="str">
        <f aca="false">Data!B322</f>
        <v>Latin America &amp; Caribbean</v>
      </c>
      <c r="C95" s="9" t="n">
        <f aca="false">Data!S322</f>
        <v>0.571472634</v>
      </c>
      <c r="D95" s="9" t="n">
        <f aca="false">Data!T322</f>
        <v>1.50236293</v>
      </c>
      <c r="E95" s="6" t="n">
        <f aca="false">Data!D323/1000</f>
        <v>32.97184766</v>
      </c>
    </row>
    <row r="96" customFormat="false" ht="15" hidden="false" customHeight="false" outlineLevel="0" collapsed="false">
      <c r="A96" s="4" t="str">
        <f aca="false">Data!A352</f>
        <v>Saint Lucia</v>
      </c>
      <c r="B96" s="4" t="str">
        <f aca="false">Data!B352</f>
        <v>Latin America &amp; Caribbean</v>
      </c>
      <c r="C96" s="9" t="n">
        <f aca="false">Data!S352</f>
        <v>0.263950058</v>
      </c>
      <c r="D96" s="9" t="n">
        <f aca="false">Data!T352</f>
        <v>0.300352518</v>
      </c>
      <c r="E96" s="6" t="n">
        <f aca="false">Data!D353/1000</f>
        <v>0.1836289978</v>
      </c>
    </row>
    <row r="97" customFormat="false" ht="15" hidden="false" customHeight="false" outlineLevel="0" collapsed="false">
      <c r="A97" s="4" t="str">
        <f aca="false">Data!A398</f>
        <v>Suriname</v>
      </c>
      <c r="B97" s="4" t="str">
        <f aca="false">Data!B398</f>
        <v>Latin America &amp; Caribbean</v>
      </c>
      <c r="C97" s="9" t="n">
        <f aca="false">Data!S398</f>
        <v>0.4483879</v>
      </c>
      <c r="D97" s="9" t="n">
        <f aca="false">Data!T398</f>
        <v>1.198959262</v>
      </c>
      <c r="E97" s="6" t="n">
        <f aca="false">Data!D399/1000</f>
        <v>0.5866339722</v>
      </c>
    </row>
    <row r="98" customFormat="false" ht="15" hidden="false" customHeight="false" outlineLevel="0" collapsed="false">
      <c r="A98" s="4" t="str">
        <f aca="false">Data!A444</f>
        <v>Uruguay</v>
      </c>
      <c r="B98" s="4" t="str">
        <f aca="false">Data!B444</f>
        <v>Latin America &amp; Caribbean</v>
      </c>
      <c r="C98" s="9" t="n">
        <f aca="false">Data!S444</f>
        <v>0.072872000000001</v>
      </c>
      <c r="D98" s="9" t="n">
        <f aca="false">Data!T444</f>
        <v>0.760997232</v>
      </c>
      <c r="E98" s="6" t="n">
        <f aca="false">Data!D445/1000</f>
        <v>3.473727051</v>
      </c>
    </row>
    <row r="99" customFormat="false" ht="15" hidden="false" customHeight="false" outlineLevel="0" collapsed="false">
      <c r="A99" s="4" t="str">
        <f aca="false">Data!A6</f>
        <v>Algeria</v>
      </c>
      <c r="B99" s="4" t="str">
        <f aca="false">Data!B6</f>
        <v>Middle East &amp; North Africa</v>
      </c>
      <c r="C99" s="9" t="n">
        <f aca="false">Data!S6</f>
        <v>0.205553685999999</v>
      </c>
      <c r="D99" s="9" t="n">
        <f aca="false">Data!T6</f>
        <v>0.33696621</v>
      </c>
      <c r="E99" s="6" t="n">
        <f aca="false">Data!D7/1000</f>
        <v>43.85104297</v>
      </c>
    </row>
    <row r="100" customFormat="false" ht="15" hidden="false" customHeight="false" outlineLevel="0" collapsed="false">
      <c r="A100" s="4" t="str">
        <f aca="false">Data!A128</f>
        <v>Egypt</v>
      </c>
      <c r="B100" s="4" t="str">
        <f aca="false">Data!B128</f>
        <v>Middle East &amp; North Africa</v>
      </c>
      <c r="C100" s="9" t="n">
        <f aca="false">Data!S128</f>
        <v>0.0666916839999999</v>
      </c>
      <c r="D100" s="9" t="n">
        <f aca="false">Data!T128</f>
        <v>0.106191446</v>
      </c>
      <c r="E100" s="6" t="n">
        <f aca="false">Data!D129/1000</f>
        <v>102.3344063</v>
      </c>
    </row>
    <row r="101" customFormat="false" ht="15" hidden="false" customHeight="false" outlineLevel="0" collapsed="false">
      <c r="A101" s="4" t="str">
        <f aca="false">Data!A200</f>
        <v>Iraq</v>
      </c>
      <c r="B101" s="4" t="str">
        <f aca="false">Data!B200</f>
        <v>Middle East &amp; North Africa</v>
      </c>
      <c r="C101" s="9" t="n">
        <f aca="false">Data!S200</f>
        <v>0.822461989999999</v>
      </c>
      <c r="D101" s="9" t="n">
        <f aca="false">Data!T200</f>
        <v>2.013687334</v>
      </c>
      <c r="E101" s="6" t="n">
        <f aca="false">Data!D201/1000</f>
        <v>40.22250391</v>
      </c>
    </row>
    <row r="102" customFormat="false" ht="15" hidden="false" customHeight="false" outlineLevel="0" collapsed="false">
      <c r="A102" s="4" t="str">
        <f aca="false">Data!A214</f>
        <v>Jordan</v>
      </c>
      <c r="B102" s="4" t="str">
        <f aca="false">Data!B214</f>
        <v>Middle East &amp; North Africa</v>
      </c>
      <c r="C102" s="9" t="n">
        <f aca="false">Data!S214</f>
        <v>-0.0132963899999993</v>
      </c>
      <c r="D102" s="9" t="n">
        <f aca="false">Data!T214</f>
        <v>-0.010167340000001</v>
      </c>
      <c r="E102" s="6" t="n">
        <f aca="false">Data!D215/1000</f>
        <v>10.20313965</v>
      </c>
    </row>
    <row r="103" customFormat="false" ht="15" hidden="false" customHeight="false" outlineLevel="0" collapsed="false">
      <c r="A103" s="4" t="str">
        <f aca="false">Data!A278</f>
        <v>Morocco</v>
      </c>
      <c r="B103" s="4" t="str">
        <f aca="false">Data!B278</f>
        <v>Middle East &amp; North Africa</v>
      </c>
      <c r="C103" s="9" t="n">
        <f aca="false">Data!S278</f>
        <v>1.33024236</v>
      </c>
      <c r="D103" s="9" t="n">
        <f aca="false">Data!T278</f>
        <v>2.634720044</v>
      </c>
      <c r="E103" s="6" t="n">
        <f aca="false">Data!D279/1000</f>
        <v>36.91055859</v>
      </c>
    </row>
    <row r="104" customFormat="false" ht="15" hidden="false" customHeight="false" outlineLevel="0" collapsed="false">
      <c r="A104" s="4" t="str">
        <f aca="false">Data!A310</f>
        <v>Oman</v>
      </c>
      <c r="B104" s="4" t="str">
        <f aca="false">Data!B310</f>
        <v>Middle East &amp; North Africa</v>
      </c>
      <c r="C104" s="9" t="n">
        <f aca="false">Data!S310</f>
        <v>0.385907810000001</v>
      </c>
      <c r="D104" s="9" t="n">
        <f aca="false">Data!T310</f>
        <v>0.37677429</v>
      </c>
      <c r="E104" s="6" t="n">
        <f aca="false">Data!D311/1000</f>
        <v>5.10662207</v>
      </c>
    </row>
    <row r="105" customFormat="false" ht="15" hidden="false" customHeight="false" outlineLevel="0" collapsed="false">
      <c r="A105" s="4" t="str">
        <f aca="false">Data!A396</f>
        <v>Sudan</v>
      </c>
      <c r="B105" s="4" t="str">
        <f aca="false">Data!B396</f>
        <v>Middle East &amp; North Africa</v>
      </c>
      <c r="C105" s="9" t="n">
        <f aca="false">Data!S396</f>
        <v>0.299684456</v>
      </c>
      <c r="D105" s="9" t="n">
        <f aca="false">Data!T396</f>
        <v>0.298317868</v>
      </c>
      <c r="E105" s="6" t="n">
        <f aca="false">Data!D397/1000</f>
        <v>43.84926953</v>
      </c>
    </row>
    <row r="106" customFormat="false" ht="15" hidden="false" customHeight="false" outlineLevel="0" collapsed="false">
      <c r="A106" s="4" t="str">
        <f aca="false">Data!A404</f>
        <v>Syrian Arab Republic</v>
      </c>
      <c r="B106" s="4" t="str">
        <f aca="false">Data!B404</f>
        <v>Middle East &amp; North Africa</v>
      </c>
      <c r="C106" s="9" t="n">
        <f aca="false">Data!S404</f>
        <v>0.0832491399999981</v>
      </c>
      <c r="D106" s="9" t="n">
        <f aca="false">Data!T404</f>
        <v>0.139407980000001</v>
      </c>
      <c r="E106" s="6" t="n">
        <f aca="false">Data!D405/1000</f>
        <v>17.50065625</v>
      </c>
    </row>
    <row r="107" customFormat="false" ht="15" hidden="false" customHeight="false" outlineLevel="0" collapsed="false">
      <c r="A107" s="4" t="str">
        <f aca="false">Data!A74</f>
        <v>Canada</v>
      </c>
      <c r="B107" s="4" t="str">
        <f aca="false">Data!B74</f>
        <v>North America</v>
      </c>
      <c r="C107" s="9" t="n">
        <f aca="false">Data!S74</f>
        <v>-0.00148214600000074</v>
      </c>
      <c r="D107" s="9" t="n">
        <f aca="false">Data!T74</f>
        <v>0.0488601640000013</v>
      </c>
      <c r="E107" s="6" t="n">
        <f aca="false">Data!D75/1000</f>
        <v>37.74215625</v>
      </c>
    </row>
    <row r="108" customFormat="false" ht="15" hidden="false" customHeight="false" outlineLevel="0" collapsed="false">
      <c r="A108" s="4" t="str">
        <f aca="false">Data!A170</f>
        <v>Greenland</v>
      </c>
      <c r="B108" s="4" t="str">
        <f aca="false">Data!B170</f>
        <v>North America</v>
      </c>
      <c r="C108" s="9" t="n">
        <f aca="false">Data!S170</f>
        <v>3.39999999710017E-007</v>
      </c>
      <c r="D108" s="9" t="n">
        <f aca="false">Data!T170</f>
        <v>0</v>
      </c>
      <c r="E108" s="6" t="n">
        <f aca="false">Data!D171/1000</f>
        <v>0.05677199936</v>
      </c>
    </row>
    <row r="109" customFormat="false" ht="15" hidden="false" customHeight="false" outlineLevel="0" collapsed="false">
      <c r="A109" s="4" t="str">
        <f aca="false">Data!A440</f>
        <v>United States of America</v>
      </c>
      <c r="B109" s="4" t="str">
        <f aca="false">Data!B440</f>
        <v>North America</v>
      </c>
      <c r="C109" s="9" t="n">
        <f aca="false">Data!S440</f>
        <v>0.0872737840000013</v>
      </c>
      <c r="D109" s="9" t="n">
        <f aca="false">Data!T440</f>
        <v>0.378133766000002</v>
      </c>
      <c r="E109" s="6" t="n">
        <f aca="false">Data!D441/1000</f>
        <v>331.0026563</v>
      </c>
    </row>
    <row r="110" customFormat="false" ht="15" hidden="false" customHeight="false" outlineLevel="0" collapsed="false">
      <c r="A110" s="4" t="str">
        <f aca="false">Data!A2</f>
        <v>Afghanistan</v>
      </c>
      <c r="B110" s="4" t="str">
        <f aca="false">Data!B2</f>
        <v>South Asia</v>
      </c>
      <c r="C110" s="9" t="n">
        <f aca="false">Data!S2</f>
        <v>2.750326488</v>
      </c>
      <c r="D110" s="9" t="n">
        <f aca="false">Data!T2</f>
        <v>2.667882638</v>
      </c>
      <c r="E110" s="6" t="n">
        <f aca="false">Data!D3/1000</f>
        <v>38.92833984</v>
      </c>
    </row>
    <row r="111" customFormat="false" ht="15" hidden="false" customHeight="false" outlineLevel="0" collapsed="false">
      <c r="A111" s="4" t="str">
        <f aca="false">Data!A34</f>
        <v>Bangladesh</v>
      </c>
      <c r="B111" s="4" t="str">
        <f aca="false">Data!B34</f>
        <v>South Asia</v>
      </c>
      <c r="C111" s="9" t="n">
        <f aca="false">Data!S34</f>
        <v>0.119271555999998</v>
      </c>
      <c r="D111" s="9" t="n">
        <f aca="false">Data!T34</f>
        <v>0.221445295999999</v>
      </c>
      <c r="E111" s="6" t="n">
        <f aca="false">Data!D35/1000</f>
        <v>164.6893906</v>
      </c>
    </row>
    <row r="112" customFormat="false" ht="15" hidden="false" customHeight="false" outlineLevel="0" collapsed="false">
      <c r="A112" s="4" t="str">
        <f aca="false">Data!A48</f>
        <v>Bhutan</v>
      </c>
      <c r="B112" s="4" t="str">
        <f aca="false">Data!B48</f>
        <v>South Asia</v>
      </c>
      <c r="C112" s="9" t="n">
        <f aca="false">Data!S48</f>
        <v>0.218360007999999</v>
      </c>
      <c r="D112" s="9" t="n">
        <f aca="false">Data!T48</f>
        <v>0.313366139999999</v>
      </c>
      <c r="E112" s="6" t="n">
        <f aca="false">Data!D49/1000</f>
        <v>0.7716119995</v>
      </c>
    </row>
    <row r="113" customFormat="false" ht="15" hidden="false" customHeight="false" outlineLevel="0" collapsed="false">
      <c r="A113" s="4" t="str">
        <f aca="false">Data!A194</f>
        <v>India</v>
      </c>
      <c r="B113" s="4" t="str">
        <f aca="false">Data!B194</f>
        <v>South Asia</v>
      </c>
      <c r="C113" s="9" t="n">
        <f aca="false">Data!S194</f>
        <v>0.470278479999999</v>
      </c>
      <c r="D113" s="9" t="n">
        <f aca="false">Data!T194</f>
        <v>0.642100556</v>
      </c>
      <c r="E113" s="6" t="n">
        <f aca="false">Data!D195/1000</f>
        <v>1380.004375</v>
      </c>
    </row>
    <row r="114" customFormat="false" ht="15" hidden="false" customHeight="false" outlineLevel="0" collapsed="false">
      <c r="A114" s="4" t="str">
        <f aca="false">Data!A198</f>
        <v>Iran (Islamic Republic of)</v>
      </c>
      <c r="B114" s="4" t="str">
        <f aca="false">Data!B198</f>
        <v>South Asia</v>
      </c>
      <c r="C114" s="9" t="n">
        <f aca="false">Data!S198</f>
        <v>0.135129850000001</v>
      </c>
      <c r="D114" s="9" t="n">
        <f aca="false">Data!T198</f>
        <v>0.333246546000001</v>
      </c>
      <c r="E114" s="6" t="n">
        <f aca="false">Data!D199/1000</f>
        <v>83.99295313</v>
      </c>
    </row>
    <row r="115" customFormat="false" ht="15" hidden="false" customHeight="false" outlineLevel="0" collapsed="false">
      <c r="A115" s="4" t="str">
        <f aca="false">Data!A248</f>
        <v>Malaysia</v>
      </c>
      <c r="B115" s="4" t="str">
        <f aca="false">Data!B248</f>
        <v>South Asia</v>
      </c>
      <c r="C115" s="9" t="n">
        <f aca="false">Data!S248</f>
        <v>0.00954090200000053</v>
      </c>
      <c r="D115" s="9" t="n">
        <f aca="false">Data!T248</f>
        <v>-0.144172219999999</v>
      </c>
      <c r="E115" s="6" t="n">
        <f aca="false">Data!D249/1000</f>
        <v>32.36599805</v>
      </c>
    </row>
    <row r="116" customFormat="false" ht="15" hidden="false" customHeight="false" outlineLevel="0" collapsed="false">
      <c r="A116" s="4" t="str">
        <f aca="false">Data!A250</f>
        <v>Maldives</v>
      </c>
      <c r="B116" s="4" t="str">
        <f aca="false">Data!B250</f>
        <v>South Asia</v>
      </c>
      <c r="C116" s="9" t="n">
        <f aca="false">Data!S250</f>
        <v>0.146038862</v>
      </c>
      <c r="D116" s="9" t="n">
        <f aca="false">Data!T250</f>
        <v>0.207862645999998</v>
      </c>
      <c r="E116" s="6" t="n">
        <f aca="false">Data!D251/1000</f>
        <v>0.5405419922</v>
      </c>
    </row>
    <row r="117" customFormat="false" ht="15" hidden="false" customHeight="false" outlineLevel="0" collapsed="false">
      <c r="A117" s="4" t="str">
        <f aca="false">Data!A288</f>
        <v>Nepal</v>
      </c>
      <c r="B117" s="4" t="str">
        <f aca="false">Data!B288</f>
        <v>South Asia</v>
      </c>
      <c r="C117" s="9" t="n">
        <f aca="false">Data!S288</f>
        <v>0.453214839999998</v>
      </c>
      <c r="D117" s="9" t="n">
        <f aca="false">Data!T288</f>
        <v>0.592258402000002</v>
      </c>
      <c r="E117" s="6" t="n">
        <f aca="false">Data!D289/1000</f>
        <v>29.13680859</v>
      </c>
    </row>
    <row r="118" customFormat="false" ht="15" hidden="false" customHeight="false" outlineLevel="0" collapsed="false">
      <c r="A118" s="4" t="str">
        <f aca="false">Data!A312</f>
        <v>Pakistan</v>
      </c>
      <c r="B118" s="4" t="str">
        <f aca="false">Data!B312</f>
        <v>South Asia</v>
      </c>
      <c r="C118" s="9" t="n">
        <f aca="false">Data!S312</f>
        <v>0.138796547999999</v>
      </c>
      <c r="D118" s="9" t="n">
        <f aca="false">Data!T312</f>
        <v>0.2897808</v>
      </c>
      <c r="E118" s="6" t="n">
        <f aca="false">Data!D313/1000</f>
        <v>220.8923281</v>
      </c>
    </row>
    <row r="119" customFormat="false" ht="15" hidden="false" customHeight="false" outlineLevel="0" collapsed="false">
      <c r="A119" s="4" t="str">
        <f aca="false">Data!A324</f>
        <v>Philippines</v>
      </c>
      <c r="B119" s="4" t="str">
        <f aca="false">Data!B324</f>
        <v>South Asia</v>
      </c>
      <c r="C119" s="9" t="n">
        <f aca="false">Data!S324</f>
        <v>0.418266707999999</v>
      </c>
      <c r="D119" s="9" t="n">
        <f aca="false">Data!T324</f>
        <v>0.570754178000001</v>
      </c>
      <c r="E119" s="6" t="n">
        <f aca="false">Data!D325/1000</f>
        <v>109.5810859</v>
      </c>
    </row>
    <row r="120" customFormat="false" ht="15" hidden="false" customHeight="false" outlineLevel="0" collapsed="false">
      <c r="A120" s="4" t="str">
        <f aca="false">Data!A394</f>
        <v>Sri Lanka</v>
      </c>
      <c r="B120" s="4" t="str">
        <f aca="false">Data!B394</f>
        <v>South Asia</v>
      </c>
      <c r="C120" s="9" t="n">
        <f aca="false">Data!S394</f>
        <v>0.42331016</v>
      </c>
      <c r="D120" s="9" t="n">
        <f aca="false">Data!T394</f>
        <v>0.456065912</v>
      </c>
      <c r="E120" s="6" t="n">
        <f aca="false">Data!D395/1000</f>
        <v>21.41325</v>
      </c>
    </row>
    <row r="121" customFormat="false" ht="15" hidden="false" customHeight="false" outlineLevel="0" collapsed="false">
      <c r="A121" s="4" t="str">
        <f aca="false">Data!A12</f>
        <v>Angola</v>
      </c>
      <c r="B121" s="4" t="str">
        <f aca="false">Data!B12</f>
        <v>Sub-Saharan Africa</v>
      </c>
      <c r="C121" s="9" t="n">
        <f aca="false">Data!S12</f>
        <v>0.570161854</v>
      </c>
      <c r="D121" s="9" t="n">
        <f aca="false">Data!T12</f>
        <v>0.218771442</v>
      </c>
      <c r="E121" s="6" t="n">
        <f aca="false">Data!D13/1000</f>
        <v>32.86626953</v>
      </c>
    </row>
    <row r="122" customFormat="false" ht="15" hidden="false" customHeight="false" outlineLevel="0" collapsed="false">
      <c r="A122" s="4" t="str">
        <f aca="false">Data!A44</f>
        <v>Benin</v>
      </c>
      <c r="B122" s="4" t="str">
        <f aca="false">Data!B44</f>
        <v>Sub-Saharan Africa</v>
      </c>
      <c r="C122" s="9" t="n">
        <f aca="false">Data!S44</f>
        <v>0.125460138</v>
      </c>
      <c r="D122" s="9" t="n">
        <f aca="false">Data!T44</f>
        <v>0.253583103999999</v>
      </c>
      <c r="E122" s="6" t="n">
        <f aca="false">Data!D45/1000</f>
        <v>12.12319824</v>
      </c>
    </row>
    <row r="123" customFormat="false" ht="15" hidden="false" customHeight="false" outlineLevel="0" collapsed="false">
      <c r="A123" s="4" t="str">
        <f aca="false">Data!A54</f>
        <v>Botswana</v>
      </c>
      <c r="B123" s="4" t="str">
        <f aca="false">Data!B54</f>
        <v>Sub-Saharan Africa</v>
      </c>
      <c r="C123" s="9" t="n">
        <f aca="false">Data!S54</f>
        <v>0.753454708000001</v>
      </c>
      <c r="D123" s="9" t="n">
        <f aca="false">Data!T54</f>
        <v>1.430238006</v>
      </c>
      <c r="E123" s="6" t="n">
        <f aca="false">Data!D55/1000</f>
        <v>2.351625</v>
      </c>
    </row>
    <row r="124" customFormat="false" ht="15" hidden="false" customHeight="false" outlineLevel="0" collapsed="false">
      <c r="A124" s="4" t="str">
        <f aca="false">Data!A64</f>
        <v>Burkina Faso</v>
      </c>
      <c r="B124" s="4" t="str">
        <f aca="false">Data!B64</f>
        <v>Sub-Saharan Africa</v>
      </c>
      <c r="C124" s="9" t="n">
        <f aca="false">Data!S64</f>
        <v>-0.584455326</v>
      </c>
      <c r="D124" s="9" t="n">
        <f aca="false">Data!T64</f>
        <v>-1.22738096</v>
      </c>
      <c r="E124" s="6" t="n">
        <f aca="false">Data!D65/1000</f>
        <v>20.90327734</v>
      </c>
    </row>
    <row r="125" customFormat="false" ht="15" hidden="false" customHeight="false" outlineLevel="0" collapsed="false">
      <c r="A125" s="4" t="str">
        <f aca="false">Data!A66</f>
        <v>Burundi</v>
      </c>
      <c r="B125" s="4" t="str">
        <f aca="false">Data!B66</f>
        <v>Sub-Saharan Africa</v>
      </c>
      <c r="C125" s="9" t="n">
        <f aca="false">Data!S66</f>
        <v>0.5251306</v>
      </c>
      <c r="D125" s="9" t="n">
        <f aca="false">Data!T66</f>
        <v>0.425499671999999</v>
      </c>
      <c r="E125" s="6" t="n">
        <f aca="false">Data!D67/1000</f>
        <v>11.89078125</v>
      </c>
    </row>
    <row r="126" customFormat="false" ht="15" hidden="false" customHeight="false" outlineLevel="0" collapsed="false">
      <c r="A126" s="4" t="str">
        <f aca="false">Data!A68</f>
        <v>Cabo Verde</v>
      </c>
      <c r="B126" s="4" t="str">
        <f aca="false">Data!B68</f>
        <v>Sub-Saharan Africa</v>
      </c>
      <c r="C126" s="9" t="n">
        <f aca="false">Data!S68</f>
        <v>0.665252810000001</v>
      </c>
      <c r="D126" s="9" t="n">
        <f aca="false">Data!T68</f>
        <v>1.456442266</v>
      </c>
      <c r="E126" s="6" t="n">
        <f aca="false">Data!D69/1000</f>
        <v>0.5559879761</v>
      </c>
    </row>
    <row r="127" customFormat="false" ht="15" hidden="false" customHeight="false" outlineLevel="0" collapsed="false">
      <c r="A127" s="4" t="str">
        <f aca="false">Data!A72</f>
        <v>Cameroon</v>
      </c>
      <c r="B127" s="4" t="str">
        <f aca="false">Data!B72</f>
        <v>Sub-Saharan Africa</v>
      </c>
      <c r="C127" s="9" t="n">
        <f aca="false">Data!S72</f>
        <v>0.349285611999998</v>
      </c>
      <c r="D127" s="9" t="n">
        <f aca="false">Data!T72</f>
        <v>0.304382382</v>
      </c>
      <c r="E127" s="6" t="n">
        <f aca="false">Data!D73/1000</f>
        <v>26.54586328</v>
      </c>
    </row>
    <row r="128" customFormat="false" ht="15" hidden="false" customHeight="false" outlineLevel="0" collapsed="false">
      <c r="A128" s="4" t="str">
        <f aca="false">Data!A78</f>
        <v>Central African Republic</v>
      </c>
      <c r="B128" s="4" t="str">
        <f aca="false">Data!B78</f>
        <v>Sub-Saharan Africa</v>
      </c>
      <c r="C128" s="9" t="n">
        <f aca="false">Data!S78</f>
        <v>-1.021788674</v>
      </c>
      <c r="D128" s="9" t="n">
        <f aca="false">Data!T78</f>
        <v>-0.756962728</v>
      </c>
      <c r="E128" s="6" t="n">
        <f aca="false">Data!D79/1000</f>
        <v>4.82976416</v>
      </c>
    </row>
    <row r="129" customFormat="false" ht="15" hidden="false" customHeight="false" outlineLevel="0" collapsed="false">
      <c r="A129" s="4" t="str">
        <f aca="false">Data!A80</f>
        <v>Chad</v>
      </c>
      <c r="B129" s="4" t="str">
        <f aca="false">Data!B80</f>
        <v>Sub-Saharan Africa</v>
      </c>
      <c r="C129" s="9" t="n">
        <f aca="false">Data!S80</f>
        <v>0.357687564</v>
      </c>
      <c r="D129" s="9" t="n">
        <f aca="false">Data!T80</f>
        <v>0.399262902</v>
      </c>
      <c r="E129" s="6" t="n">
        <f aca="false">Data!D81/1000</f>
        <v>16.42585938</v>
      </c>
    </row>
    <row r="130" customFormat="false" ht="15" hidden="false" customHeight="false" outlineLevel="0" collapsed="false">
      <c r="A130" s="4" t="str">
        <f aca="false">Data!A94</f>
        <v>Comoros</v>
      </c>
      <c r="B130" s="4" t="str">
        <f aca="false">Data!B94</f>
        <v>Sub-Saharan Africa</v>
      </c>
      <c r="C130" s="9" t="n">
        <f aca="false">Data!S94</f>
        <v>0.0196244325000023</v>
      </c>
      <c r="D130" s="9" t="n">
        <f aca="false">Data!T94</f>
        <v>0</v>
      </c>
      <c r="E130" s="6" t="n">
        <f aca="false">Data!D95/1000</f>
        <v>0.8508909912</v>
      </c>
    </row>
    <row r="131" customFormat="false" ht="15" hidden="false" customHeight="false" outlineLevel="0" collapsed="false">
      <c r="A131" s="4" t="str">
        <f aca="false">Data!A96</f>
        <v>Congo</v>
      </c>
      <c r="B131" s="4" t="str">
        <f aca="false">Data!B96</f>
        <v>Sub-Saharan Africa</v>
      </c>
      <c r="C131" s="9" t="n">
        <f aca="false">Data!S96</f>
        <v>0.526985962000001</v>
      </c>
      <c r="D131" s="9" t="n">
        <f aca="false">Data!T96</f>
        <v>0.866515448</v>
      </c>
      <c r="E131" s="6" t="n">
        <f aca="false">Data!D97/1000</f>
        <v>5.518091797</v>
      </c>
    </row>
    <row r="132" customFormat="false" ht="15" hidden="false" customHeight="false" outlineLevel="0" collapsed="false">
      <c r="A132" s="4" t="str">
        <f aca="false">Data!A102</f>
        <v>Côte d'Ivoire</v>
      </c>
      <c r="B132" s="4" t="str">
        <f aca="false">Data!B102</f>
        <v>Sub-Saharan Africa</v>
      </c>
      <c r="C132" s="9" t="n">
        <f aca="false">Data!S102</f>
        <v>-0.0333393020000017</v>
      </c>
      <c r="D132" s="9" t="n">
        <f aca="false">Data!T102</f>
        <v>-0.0241449720000006</v>
      </c>
      <c r="E132" s="6" t="n">
        <f aca="false">Data!D103/1000</f>
        <v>26.37827539</v>
      </c>
    </row>
    <row r="133" customFormat="false" ht="15" hidden="false" customHeight="false" outlineLevel="0" collapsed="false">
      <c r="A133" s="4" t="str">
        <f aca="false">Data!A116</f>
        <v>Democratic Republic of the Congo</v>
      </c>
      <c r="B133" s="4" t="str">
        <f aca="false">Data!B116</f>
        <v>Sub-Saharan Africa</v>
      </c>
      <c r="C133" s="9" t="n">
        <f aca="false">Data!S116</f>
        <v>0.646789398</v>
      </c>
      <c r="D133" s="9" t="n">
        <f aca="false">Data!T116</f>
        <v>0.272055708</v>
      </c>
      <c r="E133" s="6" t="n">
        <f aca="false">Data!D117/1000</f>
        <v>89.56140625</v>
      </c>
    </row>
    <row r="134" customFormat="false" ht="15" hidden="false" customHeight="false" outlineLevel="0" collapsed="false">
      <c r="A134" s="4" t="str">
        <f aca="false">Data!A120</f>
        <v>Djibouti</v>
      </c>
      <c r="B134" s="4" t="str">
        <f aca="false">Data!B120</f>
        <v>Sub-Saharan Africa</v>
      </c>
      <c r="C134" s="9" t="n">
        <f aca="false">Data!S120</f>
        <v>0.0525750359999989</v>
      </c>
      <c r="D134" s="9" t="n">
        <f aca="false">Data!T120</f>
        <v>-0.295694432000001</v>
      </c>
      <c r="E134" s="6" t="n">
        <f aca="false">Data!D121/1000</f>
        <v>0.9880020142</v>
      </c>
    </row>
    <row r="135" customFormat="false" ht="15" hidden="false" customHeight="false" outlineLevel="0" collapsed="false">
      <c r="A135" s="4" t="str">
        <f aca="false">Data!A132</f>
        <v>Equatorial Guinea</v>
      </c>
      <c r="B135" s="4" t="str">
        <f aca="false">Data!B132</f>
        <v>Sub-Saharan Africa</v>
      </c>
      <c r="C135" s="9" t="n">
        <f aca="false">Data!S132</f>
        <v>0.243607204999996</v>
      </c>
      <c r="D135" s="9" t="n">
        <f aca="false">Data!T132</f>
        <v>0</v>
      </c>
      <c r="E135" s="6" t="n">
        <f aca="false">Data!D133/1000</f>
        <v>1.262008057</v>
      </c>
    </row>
    <row r="136" customFormat="false" ht="15" hidden="false" customHeight="false" outlineLevel="0" collapsed="false">
      <c r="A136" s="4" t="str">
        <f aca="false">Data!A134</f>
        <v>Eritrea</v>
      </c>
      <c r="B136" s="4" t="str">
        <f aca="false">Data!B134</f>
        <v>Sub-Saharan Africa</v>
      </c>
      <c r="C136" s="9" t="n">
        <f aca="false">Data!S134</f>
        <v>0.384626650000001</v>
      </c>
      <c r="D136" s="9" t="n">
        <f aca="false">Data!T134</f>
        <v>0</v>
      </c>
      <c r="E136" s="6" t="n">
        <f aca="false">Data!D135/1000</f>
        <v>3.376558105</v>
      </c>
    </row>
    <row r="137" customFormat="false" ht="15" hidden="false" customHeight="false" outlineLevel="0" collapsed="false">
      <c r="A137" s="4" t="str">
        <f aca="false">Data!A138</f>
        <v>Eswatini</v>
      </c>
      <c r="B137" s="4" t="str">
        <f aca="false">Data!B138</f>
        <v>Sub-Saharan Africa</v>
      </c>
      <c r="C137" s="9" t="n">
        <f aca="false">Data!S138</f>
        <v>0.809823145999999</v>
      </c>
      <c r="D137" s="9" t="n">
        <f aca="false">Data!T138</f>
        <v>0.868292767999999</v>
      </c>
      <c r="E137" s="6" t="n">
        <f aca="false">Data!D139/1000</f>
        <v>1.16016394</v>
      </c>
    </row>
    <row r="138" customFormat="false" ht="15" hidden="false" customHeight="false" outlineLevel="0" collapsed="false">
      <c r="A138" s="4" t="str">
        <f aca="false">Data!A140</f>
        <v>Ethiopia</v>
      </c>
      <c r="B138" s="4" t="str">
        <f aca="false">Data!B140</f>
        <v>Sub-Saharan Africa</v>
      </c>
      <c r="C138" s="9" t="n">
        <f aca="false">Data!S140</f>
        <v>1.509101108</v>
      </c>
      <c r="D138" s="9" t="n">
        <f aca="false">Data!T140</f>
        <v>1.515674352</v>
      </c>
      <c r="E138" s="6" t="n">
        <f aca="false">Data!D141/1000</f>
        <v>114.9635859</v>
      </c>
    </row>
    <row r="139" customFormat="false" ht="15" hidden="false" customHeight="false" outlineLevel="0" collapsed="false">
      <c r="A139" s="4" t="str">
        <f aca="false">Data!A156</f>
        <v>Gabon</v>
      </c>
      <c r="B139" s="4" t="str">
        <f aca="false">Data!B156</f>
        <v>Sub-Saharan Africa</v>
      </c>
      <c r="C139" s="9" t="n">
        <f aca="false">Data!S156</f>
        <v>0.296688810000001</v>
      </c>
      <c r="D139" s="9" t="n">
        <f aca="false">Data!T156</f>
        <v>0.27117117</v>
      </c>
      <c r="E139" s="6" t="n">
        <f aca="false">Data!D157/1000</f>
        <v>2.225728027</v>
      </c>
    </row>
    <row r="140" customFormat="false" ht="15" hidden="false" customHeight="false" outlineLevel="0" collapsed="false">
      <c r="A140" s="4" t="str">
        <f aca="false">Data!A158</f>
        <v>Gambia</v>
      </c>
      <c r="B140" s="4" t="str">
        <f aca="false">Data!B158</f>
        <v>Sub-Saharan Africa</v>
      </c>
      <c r="C140" s="9" t="n">
        <f aca="false">Data!S158</f>
        <v>0.346048128000001</v>
      </c>
      <c r="D140" s="9" t="n">
        <f aca="false">Data!T158</f>
        <v>0.186726128000001</v>
      </c>
      <c r="E140" s="6" t="n">
        <f aca="false">Data!D159/1000</f>
        <v>2.416664063</v>
      </c>
    </row>
    <row r="141" customFormat="false" ht="15" hidden="false" customHeight="false" outlineLevel="0" collapsed="false">
      <c r="A141" s="4" t="str">
        <f aca="false">Data!A164</f>
        <v>Ghana</v>
      </c>
      <c r="B141" s="4" t="str">
        <f aca="false">Data!B164</f>
        <v>Sub-Saharan Africa</v>
      </c>
      <c r="C141" s="9" t="n">
        <f aca="false">Data!S164</f>
        <v>1.126607084</v>
      </c>
      <c r="D141" s="9" t="n">
        <f aca="false">Data!T164</f>
        <v>0.936889056000001</v>
      </c>
      <c r="E141" s="6" t="n">
        <f aca="false">Data!D165/1000</f>
        <v>31.07294531</v>
      </c>
    </row>
    <row r="142" customFormat="false" ht="15" hidden="false" customHeight="false" outlineLevel="0" collapsed="false">
      <c r="A142" s="4" t="str">
        <f aca="false">Data!A180</f>
        <v>Guinea</v>
      </c>
      <c r="B142" s="4" t="str">
        <f aca="false">Data!B180</f>
        <v>Sub-Saharan Africa</v>
      </c>
      <c r="C142" s="9" t="n">
        <f aca="false">Data!S180</f>
        <v>0.0692798400000001</v>
      </c>
      <c r="D142" s="9" t="n">
        <f aca="false">Data!T180</f>
        <v>-0.24019527</v>
      </c>
      <c r="E142" s="6" t="n">
        <f aca="false">Data!D181/1000</f>
        <v>13.13279199</v>
      </c>
    </row>
    <row r="143" customFormat="false" ht="15" hidden="false" customHeight="false" outlineLevel="0" collapsed="false">
      <c r="A143" s="4" t="str">
        <f aca="false">Data!A182</f>
        <v>Guinea-Bissau</v>
      </c>
      <c r="B143" s="4" t="str">
        <f aca="false">Data!B182</f>
        <v>Sub-Saharan Africa</v>
      </c>
      <c r="C143" s="9" t="n">
        <f aca="false">Data!S182</f>
        <v>0.0505129179999997</v>
      </c>
      <c r="D143" s="9" t="n">
        <f aca="false">Data!T182</f>
        <v>0.281835050000001</v>
      </c>
      <c r="E143" s="6" t="n">
        <f aca="false">Data!D183/1000</f>
        <v>1.967998047</v>
      </c>
    </row>
    <row r="144" customFormat="false" ht="15" hidden="false" customHeight="false" outlineLevel="0" collapsed="false">
      <c r="A144" s="4" t="str">
        <f aca="false">Data!A186</f>
        <v>Haiti</v>
      </c>
      <c r="B144" s="4" t="str">
        <f aca="false">Data!B186</f>
        <v>Sub-Saharan Africa</v>
      </c>
      <c r="C144" s="9" t="n">
        <f aca="false">Data!S186</f>
        <v>0.425564492000001</v>
      </c>
      <c r="D144" s="9" t="n">
        <f aca="false">Data!T186</f>
        <v>0.085856410000001</v>
      </c>
      <c r="E144" s="6" t="n">
        <f aca="false">Data!D187/1000</f>
        <v>11.4025332</v>
      </c>
    </row>
    <row r="145" customFormat="false" ht="15" hidden="false" customHeight="false" outlineLevel="0" collapsed="false">
      <c r="A145" s="4" t="str">
        <f aca="false">Data!A218</f>
        <v>Kenya</v>
      </c>
      <c r="B145" s="4" t="str">
        <f aca="false">Data!B218</f>
        <v>Sub-Saharan Africa</v>
      </c>
      <c r="C145" s="9" t="n">
        <f aca="false">Data!S218</f>
        <v>0.68719272</v>
      </c>
      <c r="D145" s="9" t="n">
        <f aca="false">Data!T218</f>
        <v>0.701563404</v>
      </c>
      <c r="E145" s="6" t="n">
        <f aca="false">Data!D219/1000</f>
        <v>53.77130078</v>
      </c>
    </row>
    <row r="146" customFormat="false" ht="15" hidden="false" customHeight="false" outlineLevel="0" collapsed="false">
      <c r="A146" s="4" t="str">
        <f aca="false">Data!A232</f>
        <v>Lesotho</v>
      </c>
      <c r="B146" s="4" t="str">
        <f aca="false">Data!B232</f>
        <v>Sub-Saharan Africa</v>
      </c>
      <c r="C146" s="9" t="n">
        <f aca="false">Data!S232</f>
        <v>0.326069974000001</v>
      </c>
      <c r="D146" s="9" t="n">
        <f aca="false">Data!T232</f>
        <v>0.0458943339999991</v>
      </c>
      <c r="E146" s="6" t="n">
        <f aca="false">Data!D233/1000</f>
        <v>2.142251953</v>
      </c>
    </row>
    <row r="147" customFormat="false" ht="15" hidden="false" customHeight="false" outlineLevel="0" collapsed="false">
      <c r="A147" s="4" t="str">
        <f aca="false">Data!A234</f>
        <v>Liberia</v>
      </c>
      <c r="B147" s="4" t="str">
        <f aca="false">Data!B234</f>
        <v>Sub-Saharan Africa</v>
      </c>
      <c r="C147" s="9" t="n">
        <f aca="false">Data!S234</f>
        <v>0.53839993</v>
      </c>
      <c r="D147" s="9" t="n">
        <f aca="false">Data!T234</f>
        <v>0.567406986</v>
      </c>
      <c r="E147" s="6" t="n">
        <f aca="false">Data!D235/1000</f>
        <v>5.057676758</v>
      </c>
    </row>
    <row r="148" customFormat="false" ht="15" hidden="false" customHeight="false" outlineLevel="0" collapsed="false">
      <c r="A148" s="4" t="str">
        <f aca="false">Data!A244</f>
        <v>Madagascar</v>
      </c>
      <c r="B148" s="4" t="str">
        <f aca="false">Data!B244</f>
        <v>Sub-Saharan Africa</v>
      </c>
      <c r="C148" s="9" t="n">
        <f aca="false">Data!S244</f>
        <v>0.898822274</v>
      </c>
      <c r="D148" s="9" t="n">
        <f aca="false">Data!T244</f>
        <v>0.652368509999999</v>
      </c>
      <c r="E148" s="6" t="n">
        <f aca="false">Data!D245/1000</f>
        <v>27.69101953</v>
      </c>
    </row>
    <row r="149" customFormat="false" ht="15" hidden="false" customHeight="false" outlineLevel="0" collapsed="false">
      <c r="A149" s="4" t="str">
        <f aca="false">Data!A246</f>
        <v>Malawi</v>
      </c>
      <c r="B149" s="4" t="str">
        <f aca="false">Data!B246</f>
        <v>Sub-Saharan Africa</v>
      </c>
      <c r="C149" s="9" t="n">
        <f aca="false">Data!S246</f>
        <v>0.778553873999999</v>
      </c>
      <c r="D149" s="9" t="n">
        <f aca="false">Data!T246</f>
        <v>0.868887024000001</v>
      </c>
      <c r="E149" s="6" t="n">
        <f aca="false">Data!D247/1000</f>
        <v>19.12995508</v>
      </c>
    </row>
    <row r="150" customFormat="false" ht="15" hidden="false" customHeight="false" outlineLevel="0" collapsed="false">
      <c r="A150" s="4" t="str">
        <f aca="false">Data!A252</f>
        <v>Mali</v>
      </c>
      <c r="B150" s="4" t="str">
        <f aca="false">Data!B252</f>
        <v>Sub-Saharan Africa</v>
      </c>
      <c r="C150" s="9" t="n">
        <f aca="false">Data!S252</f>
        <v>1.629555762</v>
      </c>
      <c r="D150" s="9" t="n">
        <f aca="false">Data!T252</f>
        <v>1.737036236</v>
      </c>
      <c r="E150" s="6" t="n">
        <f aca="false">Data!D253/1000</f>
        <v>20.25083398</v>
      </c>
    </row>
    <row r="151" customFormat="false" ht="15" hidden="false" customHeight="false" outlineLevel="0" collapsed="false">
      <c r="A151" s="4" t="str">
        <f aca="false">Data!A260</f>
        <v>Mauritania</v>
      </c>
      <c r="B151" s="4" t="str">
        <f aca="false">Data!B260</f>
        <v>Sub-Saharan Africa</v>
      </c>
      <c r="C151" s="9" t="n">
        <f aca="false">Data!S260</f>
        <v>0.941547965999999</v>
      </c>
      <c r="D151" s="9" t="n">
        <f aca="false">Data!T260</f>
        <v>0.643699344</v>
      </c>
      <c r="E151" s="6" t="n">
        <f aca="false">Data!D261/1000</f>
        <v>4.649660156</v>
      </c>
    </row>
    <row r="152" customFormat="false" ht="15" hidden="false" customHeight="false" outlineLevel="0" collapsed="false">
      <c r="A152" s="4" t="str">
        <f aca="false">Data!A262</f>
        <v>Mauritius</v>
      </c>
      <c r="B152" s="4" t="str">
        <f aca="false">Data!B262</f>
        <v>Sub-Saharan Africa</v>
      </c>
      <c r="C152" s="9" t="n">
        <f aca="false">Data!S262</f>
        <v>-4.54240000010486E-005</v>
      </c>
      <c r="D152" s="9" t="n">
        <f aca="false">Data!T262</f>
        <v>0</v>
      </c>
      <c r="E152" s="6" t="n">
        <f aca="false">Data!D263/1000</f>
        <v>1.271766968</v>
      </c>
    </row>
    <row r="153" customFormat="false" ht="15" hidden="false" customHeight="false" outlineLevel="0" collapsed="false">
      <c r="A153" s="4" t="str">
        <f aca="false">Data!A280</f>
        <v>Mozambique</v>
      </c>
      <c r="B153" s="4" t="str">
        <f aca="false">Data!B280</f>
        <v>Sub-Saharan Africa</v>
      </c>
      <c r="C153" s="9" t="n">
        <f aca="false">Data!S280</f>
        <v>2.438650084</v>
      </c>
      <c r="D153" s="9" t="n">
        <f aca="false">Data!T280</f>
        <v>2.579061548</v>
      </c>
      <c r="E153" s="6" t="n">
        <f aca="false">Data!D281/1000</f>
        <v>31.25543555</v>
      </c>
    </row>
    <row r="154" customFormat="false" ht="15" hidden="false" customHeight="false" outlineLevel="0" collapsed="false">
      <c r="A154" s="4" t="str">
        <f aca="false">Data!A284</f>
        <v>Namibia</v>
      </c>
      <c r="B154" s="4" t="str">
        <f aca="false">Data!B284</f>
        <v>Sub-Saharan Africa</v>
      </c>
      <c r="C154" s="9" t="n">
        <f aca="false">Data!S284</f>
        <v>0.349180225999999</v>
      </c>
      <c r="D154" s="9" t="n">
        <f aca="false">Data!T284</f>
        <v>0.223027210000001</v>
      </c>
      <c r="E154" s="6" t="n">
        <f aca="false">Data!D285/1000</f>
        <v>2.540916016</v>
      </c>
    </row>
    <row r="155" customFormat="false" ht="15" hidden="false" customHeight="false" outlineLevel="0" collapsed="false">
      <c r="A155" s="4" t="str">
        <f aca="false">Data!A298</f>
        <v>Niger</v>
      </c>
      <c r="B155" s="4" t="str">
        <f aca="false">Data!B298</f>
        <v>Sub-Saharan Africa</v>
      </c>
      <c r="C155" s="9" t="n">
        <f aca="false">Data!S298</f>
        <v>0.285867882000001</v>
      </c>
      <c r="D155" s="9" t="n">
        <f aca="false">Data!T298</f>
        <v>0.364843533999999</v>
      </c>
      <c r="E155" s="6" t="n">
        <f aca="false">Data!D299/1000</f>
        <v>24.20663672</v>
      </c>
    </row>
    <row r="156" customFormat="false" ht="15" hidden="false" customHeight="false" outlineLevel="0" collapsed="false">
      <c r="A156" s="4" t="str">
        <f aca="false">Data!A300</f>
        <v>Nigeria</v>
      </c>
      <c r="B156" s="4" t="str">
        <f aca="false">Data!B300</f>
        <v>Sub-Saharan Africa</v>
      </c>
      <c r="C156" s="9" t="n">
        <f aca="false">Data!S300</f>
        <v>1.765859584</v>
      </c>
      <c r="D156" s="9" t="n">
        <f aca="false">Data!T300</f>
        <v>1.633152206</v>
      </c>
      <c r="E156" s="6" t="n">
        <f aca="false">Data!D301/1000</f>
        <v>206.1395938</v>
      </c>
    </row>
    <row r="157" customFormat="false" ht="15" hidden="false" customHeight="false" outlineLevel="0" collapsed="false">
      <c r="A157" s="4" t="str">
        <f aca="false">Data!A344</f>
        <v>Rwanda</v>
      </c>
      <c r="B157" s="4" t="str">
        <f aca="false">Data!B344</f>
        <v>Sub-Saharan Africa</v>
      </c>
      <c r="C157" s="9" t="n">
        <f aca="false">Data!S344</f>
        <v>0.658545426000001</v>
      </c>
      <c r="D157" s="9" t="n">
        <f aca="false">Data!T344</f>
        <v>0.657951734</v>
      </c>
      <c r="E157" s="6" t="n">
        <f aca="false">Data!D345/1000</f>
        <v>12.95220898</v>
      </c>
    </row>
    <row r="158" customFormat="false" ht="15" hidden="false" customHeight="false" outlineLevel="0" collapsed="false">
      <c r="A158" s="4" t="str">
        <f aca="false">Data!A364</f>
        <v>Sao Tome and Principe</v>
      </c>
      <c r="B158" s="4" t="str">
        <f aca="false">Data!B364</f>
        <v>Sub-Saharan Africa</v>
      </c>
      <c r="C158" s="9" t="n">
        <f aca="false">Data!S364</f>
        <v>0.220445074</v>
      </c>
      <c r="D158" s="9" t="n">
        <f aca="false">Data!T364</f>
        <v>0.603579569999999</v>
      </c>
      <c r="E158" s="6" t="n">
        <f aca="false">Data!D365/1000</f>
        <v>0.2191609955</v>
      </c>
    </row>
    <row r="159" customFormat="false" ht="15" hidden="false" customHeight="false" outlineLevel="0" collapsed="false">
      <c r="A159" s="4" t="str">
        <f aca="false">Data!A368</f>
        <v>Senegal</v>
      </c>
      <c r="B159" s="4" t="str">
        <f aca="false">Data!B368</f>
        <v>Sub-Saharan Africa</v>
      </c>
      <c r="C159" s="9" t="n">
        <f aca="false">Data!S368</f>
        <v>1.260628834</v>
      </c>
      <c r="D159" s="9" t="n">
        <f aca="false">Data!T368</f>
        <v>1.860345328</v>
      </c>
      <c r="E159" s="6" t="n">
        <f aca="false">Data!D369/1000</f>
        <v>16.74392969</v>
      </c>
    </row>
    <row r="160" customFormat="false" ht="15" hidden="false" customHeight="false" outlineLevel="0" collapsed="false">
      <c r="A160" s="4" t="str">
        <f aca="false">Data!A374</f>
        <v>Sierra Leone</v>
      </c>
      <c r="B160" s="4" t="str">
        <f aca="false">Data!B374</f>
        <v>Sub-Saharan Africa</v>
      </c>
      <c r="C160" s="9" t="n">
        <f aca="false">Data!S374</f>
        <v>1.183764092</v>
      </c>
      <c r="D160" s="9" t="n">
        <f aca="false">Data!T374</f>
        <v>1.444597766</v>
      </c>
      <c r="E160" s="6" t="n">
        <f aca="false">Data!D375/1000</f>
        <v>7.976984863</v>
      </c>
    </row>
    <row r="161" customFormat="false" ht="15" hidden="false" customHeight="false" outlineLevel="0" collapsed="false">
      <c r="A161" s="4" t="str">
        <f aca="false">Data!A386</f>
        <v>Somalia</v>
      </c>
      <c r="B161" s="4" t="str">
        <f aca="false">Data!B386</f>
        <v>Sub-Saharan Africa</v>
      </c>
      <c r="C161" s="9" t="n">
        <f aca="false">Data!S386</f>
        <v>1.553163942</v>
      </c>
      <c r="D161" s="9" t="n">
        <f aca="false">Data!T386</f>
        <v>1.569534044</v>
      </c>
      <c r="E161" s="6" t="n">
        <f aca="false">Data!D387/1000</f>
        <v>15.89321875</v>
      </c>
    </row>
    <row r="162" customFormat="false" ht="15" hidden="false" customHeight="false" outlineLevel="0" collapsed="false">
      <c r="A162" s="4" t="str">
        <f aca="false">Data!A388</f>
        <v>South Africa</v>
      </c>
      <c r="B162" s="4" t="str">
        <f aca="false">Data!B388</f>
        <v>Sub-Saharan Africa</v>
      </c>
      <c r="C162" s="9" t="n">
        <f aca="false">Data!S388</f>
        <v>0.401742714</v>
      </c>
      <c r="D162" s="9" t="n">
        <f aca="false">Data!T388</f>
        <v>0.859148530000002</v>
      </c>
      <c r="E162" s="6" t="n">
        <f aca="false">Data!D389/1000</f>
        <v>59.30869141</v>
      </c>
    </row>
    <row r="163" customFormat="false" ht="15" hidden="false" customHeight="false" outlineLevel="0" collapsed="false">
      <c r="A163" s="4" t="str">
        <f aca="false">Data!A390</f>
        <v>South Sudan</v>
      </c>
      <c r="B163" s="4" t="str">
        <f aca="false">Data!B390</f>
        <v>Sub-Saharan Africa</v>
      </c>
      <c r="C163" s="9" t="n">
        <f aca="false">Data!S390</f>
        <v>-0.0593164580000007</v>
      </c>
      <c r="D163" s="9" t="n">
        <f aca="false">Data!T390</f>
        <v>-0.626630184</v>
      </c>
      <c r="E163" s="6" t="n">
        <f aca="false">Data!D391/1000</f>
        <v>11.19372852</v>
      </c>
    </row>
    <row r="164" customFormat="false" ht="15" hidden="false" customHeight="false" outlineLevel="0" collapsed="false">
      <c r="A164" s="4" t="str">
        <f aca="false">Data!A412</f>
        <v>Togo</v>
      </c>
      <c r="B164" s="4" t="str">
        <f aca="false">Data!B412</f>
        <v>Sub-Saharan Africa</v>
      </c>
      <c r="C164" s="9" t="n">
        <f aca="false">Data!S412</f>
        <v>0.989318747999999</v>
      </c>
      <c r="D164" s="9" t="n">
        <f aca="false">Data!T412</f>
        <v>0.975073894000001</v>
      </c>
      <c r="E164" s="6" t="n">
        <f aca="false">Data!D413/1000</f>
        <v>8.278737305</v>
      </c>
    </row>
    <row r="165" customFormat="false" ht="15" hidden="false" customHeight="false" outlineLevel="0" collapsed="false">
      <c r="A165" s="4" t="str">
        <f aca="false">Data!A420</f>
        <v>Tunisia</v>
      </c>
      <c r="B165" s="4" t="str">
        <f aca="false">Data!B420</f>
        <v>Sub-Saharan Africa</v>
      </c>
      <c r="C165" s="9" t="n">
        <f aca="false">Data!S420</f>
        <v>0.539570778000001</v>
      </c>
      <c r="D165" s="9" t="n">
        <f aca="false">Data!T420</f>
        <v>1.669111792</v>
      </c>
      <c r="E165" s="6" t="n">
        <f aca="false">Data!D421/1000</f>
        <v>11.81861816</v>
      </c>
    </row>
    <row r="166" customFormat="false" ht="15" hidden="false" customHeight="false" outlineLevel="0" collapsed="false">
      <c r="A166" s="4" t="str">
        <f aca="false">Data!A430</f>
        <v>Uganda</v>
      </c>
      <c r="B166" s="4" t="str">
        <f aca="false">Data!B430</f>
        <v>Sub-Saharan Africa</v>
      </c>
      <c r="C166" s="9" t="n">
        <f aca="false">Data!S430</f>
        <v>1.60269817</v>
      </c>
      <c r="D166" s="9" t="n">
        <f aca="false">Data!T430</f>
        <v>1.70283729</v>
      </c>
      <c r="E166" s="6" t="n">
        <f aca="false">Data!D431/1000</f>
        <v>45.741</v>
      </c>
    </row>
    <row r="167" customFormat="false" ht="15" hidden="false" customHeight="false" outlineLevel="0" collapsed="false">
      <c r="A167" s="4" t="str">
        <f aca="false">Data!A438</f>
        <v>United Republic of Tanzania</v>
      </c>
      <c r="B167" s="4" t="str">
        <f aca="false">Data!B438</f>
        <v>Sub-Saharan Africa</v>
      </c>
      <c r="C167" s="9" t="n">
        <f aca="false">Data!S438</f>
        <v>1.5506006</v>
      </c>
      <c r="D167" s="9" t="n">
        <f aca="false">Data!T438</f>
        <v>1.316708156</v>
      </c>
      <c r="E167" s="6" t="n">
        <f aca="false">Data!D439/1000</f>
        <v>59.73421484</v>
      </c>
    </row>
    <row r="168" customFormat="false" ht="15" hidden="false" customHeight="false" outlineLevel="0" collapsed="false">
      <c r="A168" s="4" t="str">
        <f aca="false">Data!A460</f>
        <v>Zambia</v>
      </c>
      <c r="B168" s="4" t="str">
        <f aca="false">Data!B460</f>
        <v>Sub-Saharan Africa</v>
      </c>
      <c r="C168" s="9" t="n">
        <f aca="false">Data!S460</f>
        <v>0.814727458</v>
      </c>
      <c r="D168" s="9" t="n">
        <f aca="false">Data!T460</f>
        <v>0.922090802</v>
      </c>
      <c r="E168" s="6" t="n">
        <f aca="false">Data!D461/1000</f>
        <v>18.38395508</v>
      </c>
    </row>
    <row r="169" customFormat="false" ht="15" hidden="false" customHeight="false" outlineLevel="0" collapsed="false">
      <c r="A169" s="4" t="str">
        <f aca="false">Data!A462</f>
        <v>Zimbabwe</v>
      </c>
      <c r="B169" s="4" t="str">
        <f aca="false">Data!B462</f>
        <v>Sub-Saharan Africa</v>
      </c>
      <c r="C169" s="9" t="n">
        <f aca="false">Data!S462</f>
        <v>-0.4</v>
      </c>
      <c r="D169" s="9" t="n">
        <f aca="false">Data!T462</f>
        <v>-0.6</v>
      </c>
      <c r="E169" s="6" t="n">
        <f aca="false">Data!D463/1000</f>
        <v>14.863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</cols>
  <sheetData>
    <row r="1" customFormat="false" ht="19.5" hidden="false" customHeight="true" outlineLevel="0" collapsed="false">
      <c r="A1" s="5" t="s">
        <v>26</v>
      </c>
      <c r="B1" s="5" t="s">
        <v>28</v>
      </c>
    </row>
    <row r="2" customFormat="false" ht="15" hidden="false" customHeight="false" outlineLevel="0" collapsed="false">
      <c r="A2" s="4" t="s">
        <v>83</v>
      </c>
      <c r="B2" s="4" t="s">
        <v>371</v>
      </c>
    </row>
    <row r="3" customFormat="false" ht="15" hidden="false" customHeight="false" outlineLevel="0" collapsed="false">
      <c r="A3" s="4" t="s">
        <v>84</v>
      </c>
      <c r="B3" s="4" t="s">
        <v>367</v>
      </c>
    </row>
    <row r="4" customFormat="false" ht="15" hidden="false" customHeight="false" outlineLevel="0" collapsed="false">
      <c r="A4" s="4" t="s">
        <v>85</v>
      </c>
      <c r="B4" s="4" t="s">
        <v>369</v>
      </c>
    </row>
    <row r="5" customFormat="false" ht="15" hidden="false" customHeight="false" outlineLevel="0" collapsed="false">
      <c r="A5" s="4" t="s">
        <v>86</v>
      </c>
      <c r="B5" s="4" t="s">
        <v>366</v>
      </c>
    </row>
    <row r="6" customFormat="false" ht="15" hidden="false" customHeight="false" outlineLevel="0" collapsed="false">
      <c r="A6" s="4" t="s">
        <v>87</v>
      </c>
      <c r="B6" s="4" t="s">
        <v>367</v>
      </c>
    </row>
    <row r="7" customFormat="false" ht="15" hidden="false" customHeight="false" outlineLevel="0" collapsed="false">
      <c r="A7" s="4" t="s">
        <v>88</v>
      </c>
      <c r="B7" s="4" t="s">
        <v>372</v>
      </c>
    </row>
    <row r="8" customFormat="false" ht="15" hidden="false" customHeight="false" outlineLevel="0" collapsed="false">
      <c r="A8" s="4" t="s">
        <v>89</v>
      </c>
      <c r="B8" s="4" t="s">
        <v>368</v>
      </c>
    </row>
    <row r="9" customFormat="false" ht="15" hidden="false" customHeight="false" outlineLevel="0" collapsed="false">
      <c r="A9" s="4" t="s">
        <v>90</v>
      </c>
      <c r="B9" s="4" t="s">
        <v>368</v>
      </c>
    </row>
    <row r="10" customFormat="false" ht="15" hidden="false" customHeight="false" outlineLevel="0" collapsed="false">
      <c r="A10" s="4" t="s">
        <v>91</v>
      </c>
      <c r="B10" s="4" t="s">
        <v>368</v>
      </c>
    </row>
    <row r="11" customFormat="false" ht="15" hidden="false" customHeight="false" outlineLevel="0" collapsed="false">
      <c r="A11" s="4" t="s">
        <v>92</v>
      </c>
      <c r="B11" s="4" t="s">
        <v>367</v>
      </c>
    </row>
    <row r="12" customFormat="false" ht="15" hidden="false" customHeight="false" outlineLevel="0" collapsed="false">
      <c r="A12" s="4" t="s">
        <v>93</v>
      </c>
      <c r="B12" s="4" t="s">
        <v>368</v>
      </c>
    </row>
    <row r="13" customFormat="false" ht="15" hidden="false" customHeight="false" outlineLevel="0" collapsed="false">
      <c r="A13" s="4" t="s">
        <v>94</v>
      </c>
      <c r="B13" s="4" t="s">
        <v>366</v>
      </c>
    </row>
    <row r="14" customFormat="false" ht="15" hidden="false" customHeight="false" outlineLevel="0" collapsed="false">
      <c r="A14" s="4" t="s">
        <v>95</v>
      </c>
      <c r="B14" s="4" t="s">
        <v>367</v>
      </c>
    </row>
    <row r="15" customFormat="false" ht="15" hidden="false" customHeight="false" outlineLevel="0" collapsed="false">
      <c r="A15" s="4" t="s">
        <v>96</v>
      </c>
      <c r="B15" s="4" t="s">
        <v>367</v>
      </c>
    </row>
    <row r="16" customFormat="false" ht="15" hidden="false" customHeight="false" outlineLevel="0" collapsed="false">
      <c r="A16" s="4" t="s">
        <v>97</v>
      </c>
      <c r="B16" s="4" t="s">
        <v>368</v>
      </c>
    </row>
    <row r="17" customFormat="false" ht="15" hidden="false" customHeight="false" outlineLevel="0" collapsed="false">
      <c r="A17" s="4" t="s">
        <v>98</v>
      </c>
      <c r="B17" s="4" t="s">
        <v>367</v>
      </c>
    </row>
    <row r="18" customFormat="false" ht="15" hidden="false" customHeight="false" outlineLevel="0" collapsed="false">
      <c r="A18" s="4" t="s">
        <v>99</v>
      </c>
      <c r="B18" s="4" t="s">
        <v>371</v>
      </c>
    </row>
    <row r="19" customFormat="false" ht="15" hidden="false" customHeight="false" outlineLevel="0" collapsed="false">
      <c r="A19" s="4" t="s">
        <v>100</v>
      </c>
      <c r="B19" s="4" t="s">
        <v>368</v>
      </c>
    </row>
    <row r="20" customFormat="false" ht="15" hidden="false" customHeight="false" outlineLevel="0" collapsed="false">
      <c r="A20" s="4" t="s">
        <v>101</v>
      </c>
      <c r="B20" s="4" t="s">
        <v>367</v>
      </c>
    </row>
    <row r="21" customFormat="false" ht="15" hidden="false" customHeight="false" outlineLevel="0" collapsed="false">
      <c r="A21" s="4" t="s">
        <v>102</v>
      </c>
      <c r="B21" s="4" t="s">
        <v>367</v>
      </c>
    </row>
    <row r="22" customFormat="false" ht="15" hidden="false" customHeight="false" outlineLevel="0" collapsed="false">
      <c r="A22" s="4" t="s">
        <v>103</v>
      </c>
      <c r="B22" s="4" t="s">
        <v>368</v>
      </c>
    </row>
    <row r="23" customFormat="false" ht="15" hidden="false" customHeight="false" outlineLevel="0" collapsed="false">
      <c r="A23" s="4" t="s">
        <v>104</v>
      </c>
      <c r="B23" s="4" t="s">
        <v>372</v>
      </c>
    </row>
    <row r="24" customFormat="false" ht="15" hidden="false" customHeight="false" outlineLevel="0" collapsed="false">
      <c r="A24" s="4" t="s">
        <v>105</v>
      </c>
      <c r="B24" s="4" t="s">
        <v>370</v>
      </c>
    </row>
    <row r="25" customFormat="false" ht="15" hidden="false" customHeight="false" outlineLevel="0" collapsed="false">
      <c r="A25" s="4" t="s">
        <v>106</v>
      </c>
      <c r="B25" s="4" t="s">
        <v>371</v>
      </c>
    </row>
    <row r="26" customFormat="false" ht="15" hidden="false" customHeight="false" outlineLevel="0" collapsed="false">
      <c r="A26" s="4" t="s">
        <v>107</v>
      </c>
      <c r="B26" s="4" t="s">
        <v>368</v>
      </c>
    </row>
    <row r="27" customFormat="false" ht="15" hidden="false" customHeight="false" outlineLevel="0" collapsed="false">
      <c r="A27" s="4" t="s">
        <v>108</v>
      </c>
      <c r="B27" s="4" t="s">
        <v>367</v>
      </c>
    </row>
    <row r="28" customFormat="false" ht="15" hidden="false" customHeight="false" outlineLevel="0" collapsed="false">
      <c r="A28" s="4" t="s">
        <v>109</v>
      </c>
      <c r="B28" s="4" t="s">
        <v>372</v>
      </c>
    </row>
    <row r="29" customFormat="false" ht="15" hidden="false" customHeight="false" outlineLevel="0" collapsed="false">
      <c r="A29" s="4" t="s">
        <v>110</v>
      </c>
      <c r="B29" s="4" t="s">
        <v>368</v>
      </c>
    </row>
    <row r="30" customFormat="false" ht="15" hidden="false" customHeight="false" outlineLevel="0" collapsed="false">
      <c r="A30" s="4" t="s">
        <v>111</v>
      </c>
      <c r="B30" s="4" t="s">
        <v>368</v>
      </c>
    </row>
    <row r="31" customFormat="false" ht="15" hidden="false" customHeight="false" outlineLevel="0" collapsed="false">
      <c r="A31" s="4" t="s">
        <v>112</v>
      </c>
      <c r="B31" s="4" t="s">
        <v>366</v>
      </c>
    </row>
    <row r="32" customFormat="false" ht="15" hidden="false" customHeight="false" outlineLevel="0" collapsed="false">
      <c r="A32" s="4" t="s">
        <v>113</v>
      </c>
      <c r="B32" s="4" t="s">
        <v>367</v>
      </c>
    </row>
    <row r="33" customFormat="false" ht="15" hidden="false" customHeight="false" outlineLevel="0" collapsed="false">
      <c r="A33" s="4" t="s">
        <v>114</v>
      </c>
      <c r="B33" s="4" t="s">
        <v>372</v>
      </c>
    </row>
    <row r="34" customFormat="false" ht="15" hidden="false" customHeight="false" outlineLevel="0" collapsed="false">
      <c r="A34" s="4" t="s">
        <v>115</v>
      </c>
      <c r="B34" s="4" t="s">
        <v>372</v>
      </c>
    </row>
    <row r="35" customFormat="false" ht="15" hidden="false" customHeight="false" outlineLevel="0" collapsed="false">
      <c r="A35" s="4" t="s">
        <v>116</v>
      </c>
      <c r="B35" s="4" t="s">
        <v>372</v>
      </c>
    </row>
    <row r="36" customFormat="false" ht="15" hidden="false" customHeight="false" outlineLevel="0" collapsed="false">
      <c r="A36" s="4" t="s">
        <v>117</v>
      </c>
      <c r="B36" s="4" t="s">
        <v>366</v>
      </c>
    </row>
    <row r="37" customFormat="false" ht="15" hidden="false" customHeight="false" outlineLevel="0" collapsed="false">
      <c r="A37" s="4" t="s">
        <v>118</v>
      </c>
      <c r="B37" s="4" t="s">
        <v>372</v>
      </c>
    </row>
    <row r="38" customFormat="false" ht="15" hidden="false" customHeight="false" outlineLevel="0" collapsed="false">
      <c r="A38" s="4" t="s">
        <v>119</v>
      </c>
      <c r="B38" s="4" t="s">
        <v>370</v>
      </c>
    </row>
    <row r="39" customFormat="false" ht="15" hidden="false" customHeight="false" outlineLevel="0" collapsed="false">
      <c r="A39" s="4" t="s">
        <v>120</v>
      </c>
      <c r="B39" s="4" t="s">
        <v>368</v>
      </c>
    </row>
    <row r="40" customFormat="false" ht="15" hidden="false" customHeight="false" outlineLevel="0" collapsed="false">
      <c r="A40" s="4" t="s">
        <v>121</v>
      </c>
      <c r="B40" s="4" t="s">
        <v>372</v>
      </c>
    </row>
    <row r="41" customFormat="false" ht="15" hidden="false" customHeight="false" outlineLevel="0" collapsed="false">
      <c r="A41" s="4" t="s">
        <v>122</v>
      </c>
      <c r="B41" s="4" t="s">
        <v>372</v>
      </c>
    </row>
    <row r="42" customFormat="false" ht="15" hidden="false" customHeight="false" outlineLevel="0" collapsed="false">
      <c r="A42" s="4" t="s">
        <v>123</v>
      </c>
      <c r="B42" s="4" t="s">
        <v>367</v>
      </c>
    </row>
    <row r="43" customFormat="false" ht="15" hidden="false" customHeight="false" outlineLevel="0" collapsed="false">
      <c r="A43" s="4" t="s">
        <v>124</v>
      </c>
      <c r="B43" s="4" t="s">
        <v>368</v>
      </c>
    </row>
    <row r="44" customFormat="false" ht="15" hidden="false" customHeight="false" outlineLevel="0" collapsed="false">
      <c r="A44" s="4" t="s">
        <v>125</v>
      </c>
      <c r="B44" s="4" t="s">
        <v>366</v>
      </c>
    </row>
    <row r="45" customFormat="false" ht="15" hidden="false" customHeight="false" outlineLevel="0" collapsed="false">
      <c r="A45" s="4" t="s">
        <v>126</v>
      </c>
      <c r="B45" s="4" t="s">
        <v>366</v>
      </c>
    </row>
    <row r="46" customFormat="false" ht="15" hidden="false" customHeight="false" outlineLevel="0" collapsed="false">
      <c r="A46" s="4" t="s">
        <v>127</v>
      </c>
      <c r="B46" s="4" t="s">
        <v>366</v>
      </c>
    </row>
    <row r="47" customFormat="false" ht="15" hidden="false" customHeight="false" outlineLevel="0" collapsed="false">
      <c r="A47" s="4" t="s">
        <v>128</v>
      </c>
      <c r="B47" s="4" t="s">
        <v>368</v>
      </c>
    </row>
    <row r="48" customFormat="false" ht="15" hidden="false" customHeight="false" outlineLevel="0" collapsed="false">
      <c r="A48" s="4" t="s">
        <v>129</v>
      </c>
      <c r="B48" s="4" t="s">
        <v>372</v>
      </c>
    </row>
    <row r="49" customFormat="false" ht="15" hidden="false" customHeight="false" outlineLevel="0" collapsed="false">
      <c r="A49" s="4" t="s">
        <v>130</v>
      </c>
      <c r="B49" s="4" t="s">
        <v>372</v>
      </c>
    </row>
    <row r="50" customFormat="false" ht="15" hidden="false" customHeight="false" outlineLevel="0" collapsed="false">
      <c r="A50" s="4" t="s">
        <v>131</v>
      </c>
      <c r="B50" s="4" t="s">
        <v>366</v>
      </c>
    </row>
    <row r="51" customFormat="false" ht="15" hidden="false" customHeight="false" outlineLevel="0" collapsed="false">
      <c r="A51" s="4" t="s">
        <v>132</v>
      </c>
      <c r="B51" s="4" t="s">
        <v>368</v>
      </c>
    </row>
    <row r="52" customFormat="false" ht="15" hidden="false" customHeight="false" outlineLevel="0" collapsed="false">
      <c r="A52" s="4" t="s">
        <v>133</v>
      </c>
      <c r="B52" s="4" t="s">
        <v>372</v>
      </c>
    </row>
    <row r="53" customFormat="false" ht="15" hidden="false" customHeight="false" outlineLevel="0" collapsed="false">
      <c r="A53" s="4" t="s">
        <v>134</v>
      </c>
      <c r="B53" s="4" t="s">
        <v>367</v>
      </c>
    </row>
    <row r="54" customFormat="false" ht="15" hidden="false" customHeight="false" outlineLevel="0" collapsed="false">
      <c r="A54" s="4" t="s">
        <v>135</v>
      </c>
      <c r="B54" s="4" t="s">
        <v>368</v>
      </c>
    </row>
    <row r="55" customFormat="false" ht="15" hidden="false" customHeight="false" outlineLevel="0" collapsed="false">
      <c r="A55" s="4" t="s">
        <v>136</v>
      </c>
      <c r="B55" s="4" t="s">
        <v>368</v>
      </c>
    </row>
    <row r="56" customFormat="false" ht="15" hidden="false" customHeight="false" outlineLevel="0" collapsed="false">
      <c r="A56" s="4" t="s">
        <v>137</v>
      </c>
      <c r="B56" s="4" t="s">
        <v>367</v>
      </c>
    </row>
    <row r="57" customFormat="false" ht="15" hidden="false" customHeight="false" outlineLevel="0" collapsed="false">
      <c r="A57" s="4" t="s">
        <v>138</v>
      </c>
      <c r="B57" s="4" t="s">
        <v>367</v>
      </c>
    </row>
    <row r="58" customFormat="false" ht="15" hidden="false" customHeight="false" outlineLevel="0" collapsed="false">
      <c r="A58" s="4" t="s">
        <v>139</v>
      </c>
      <c r="B58" s="4" t="s">
        <v>366</v>
      </c>
    </row>
    <row r="59" customFormat="false" ht="15" hidden="false" customHeight="false" outlineLevel="0" collapsed="false">
      <c r="A59" s="4" t="s">
        <v>140</v>
      </c>
      <c r="B59" s="4" t="s">
        <v>372</v>
      </c>
    </row>
    <row r="60" customFormat="false" ht="15" hidden="false" customHeight="false" outlineLevel="0" collapsed="false">
      <c r="A60" s="4" t="s">
        <v>141</v>
      </c>
      <c r="B60" s="4" t="s">
        <v>367</v>
      </c>
    </row>
    <row r="61" customFormat="false" ht="15" hidden="false" customHeight="false" outlineLevel="0" collapsed="false">
      <c r="A61" s="4" t="s">
        <v>142</v>
      </c>
      <c r="B61" s="4" t="s">
        <v>372</v>
      </c>
    </row>
    <row r="62" customFormat="false" ht="15" hidden="false" customHeight="false" outlineLevel="0" collapsed="false">
      <c r="A62" s="4" t="s">
        <v>143</v>
      </c>
      <c r="B62" s="4" t="s">
        <v>368</v>
      </c>
    </row>
    <row r="63" customFormat="false" ht="15" hidden="false" customHeight="false" outlineLevel="0" collapsed="false">
      <c r="A63" s="4" t="s">
        <v>144</v>
      </c>
      <c r="B63" s="4" t="s">
        <v>368</v>
      </c>
    </row>
    <row r="64" customFormat="false" ht="15" hidden="false" customHeight="false" outlineLevel="0" collapsed="false">
      <c r="A64" s="4" t="s">
        <v>145</v>
      </c>
      <c r="B64" s="4" t="s">
        <v>368</v>
      </c>
    </row>
    <row r="65" customFormat="false" ht="15" hidden="false" customHeight="false" outlineLevel="0" collapsed="false">
      <c r="A65" s="4" t="s">
        <v>146</v>
      </c>
      <c r="B65" s="4" t="s">
        <v>369</v>
      </c>
    </row>
    <row r="66" customFormat="false" ht="15" hidden="false" customHeight="false" outlineLevel="0" collapsed="false">
      <c r="A66" s="4" t="s">
        <v>147</v>
      </c>
      <c r="B66" s="4" t="s">
        <v>368</v>
      </c>
    </row>
    <row r="67" customFormat="false" ht="15" hidden="false" customHeight="false" outlineLevel="0" collapsed="false">
      <c r="A67" s="4" t="s">
        <v>148</v>
      </c>
      <c r="B67" s="4" t="s">
        <v>372</v>
      </c>
    </row>
    <row r="68" customFormat="false" ht="15" hidden="false" customHeight="false" outlineLevel="0" collapsed="false">
      <c r="A68" s="4" t="s">
        <v>149</v>
      </c>
      <c r="B68" s="4" t="s">
        <v>372</v>
      </c>
    </row>
    <row r="69" customFormat="false" ht="15" hidden="false" customHeight="false" outlineLevel="0" collapsed="false">
      <c r="A69" s="4" t="s">
        <v>150</v>
      </c>
      <c r="B69" s="4" t="s">
        <v>367</v>
      </c>
    </row>
    <row r="70" customFormat="false" ht="15" hidden="false" customHeight="false" outlineLevel="0" collapsed="false">
      <c r="A70" s="4" t="s">
        <v>151</v>
      </c>
      <c r="B70" s="4" t="s">
        <v>372</v>
      </c>
    </row>
    <row r="71" customFormat="false" ht="15" hidden="false" customHeight="false" outlineLevel="0" collapsed="false">
      <c r="A71" s="4" t="s">
        <v>152</v>
      </c>
      <c r="B71" s="4" t="s">
        <v>372</v>
      </c>
    </row>
    <row r="72" customFormat="false" ht="15" hidden="false" customHeight="false" outlineLevel="0" collapsed="false">
      <c r="A72" s="4" t="s">
        <v>153</v>
      </c>
      <c r="B72" s="4" t="s">
        <v>367</v>
      </c>
    </row>
    <row r="73" customFormat="false" ht="15" hidden="false" customHeight="false" outlineLevel="0" collapsed="false">
      <c r="A73" s="4" t="s">
        <v>154</v>
      </c>
      <c r="B73" s="4" t="s">
        <v>368</v>
      </c>
    </row>
    <row r="74" customFormat="false" ht="15" hidden="false" customHeight="false" outlineLevel="0" collapsed="false">
      <c r="A74" s="4" t="s">
        <v>155</v>
      </c>
      <c r="B74" s="4" t="s">
        <v>366</v>
      </c>
    </row>
    <row r="75" customFormat="false" ht="15" hidden="false" customHeight="false" outlineLevel="0" collapsed="false">
      <c r="A75" s="4" t="s">
        <v>156</v>
      </c>
      <c r="B75" s="4" t="s">
        <v>367</v>
      </c>
    </row>
    <row r="76" customFormat="false" ht="15" hidden="false" customHeight="false" outlineLevel="0" collapsed="false">
      <c r="A76" s="4" t="s">
        <v>157</v>
      </c>
      <c r="B76" s="4" t="s">
        <v>367</v>
      </c>
    </row>
    <row r="77" customFormat="false" ht="15" hidden="false" customHeight="false" outlineLevel="0" collapsed="false">
      <c r="A77" s="4" t="s">
        <v>158</v>
      </c>
      <c r="B77" s="4" t="s">
        <v>368</v>
      </c>
    </row>
    <row r="78" customFormat="false" ht="15" hidden="false" customHeight="false" outlineLevel="0" collapsed="false">
      <c r="A78" s="4" t="s">
        <v>159</v>
      </c>
      <c r="B78" s="4" t="s">
        <v>366</v>
      </c>
    </row>
    <row r="79" customFormat="false" ht="15" hidden="false" customHeight="false" outlineLevel="0" collapsed="false">
      <c r="A79" s="4" t="s">
        <v>160</v>
      </c>
      <c r="B79" s="4" t="s">
        <v>372</v>
      </c>
    </row>
    <row r="80" customFormat="false" ht="15" hidden="false" customHeight="false" outlineLevel="0" collapsed="false">
      <c r="A80" s="4" t="s">
        <v>161</v>
      </c>
      <c r="B80" s="4" t="s">
        <v>372</v>
      </c>
    </row>
    <row r="81" customFormat="false" ht="15" hidden="false" customHeight="false" outlineLevel="0" collapsed="false">
      <c r="A81" s="4" t="s">
        <v>162</v>
      </c>
      <c r="B81" s="4" t="s">
        <v>367</v>
      </c>
    </row>
    <row r="82" customFormat="false" ht="15" hidden="false" customHeight="false" outlineLevel="0" collapsed="false">
      <c r="A82" s="4" t="s">
        <v>163</v>
      </c>
      <c r="B82" s="4" t="s">
        <v>367</v>
      </c>
    </row>
    <row r="83" customFormat="false" ht="15" hidden="false" customHeight="false" outlineLevel="0" collapsed="false">
      <c r="A83" s="4" t="s">
        <v>164</v>
      </c>
      <c r="B83" s="4" t="s">
        <v>372</v>
      </c>
    </row>
    <row r="84" customFormat="false" ht="15" hidden="false" customHeight="false" outlineLevel="0" collapsed="false">
      <c r="A84" s="4" t="s">
        <v>165</v>
      </c>
      <c r="B84" s="4" t="s">
        <v>367</v>
      </c>
    </row>
    <row r="85" customFormat="false" ht="15" hidden="false" customHeight="false" outlineLevel="0" collapsed="false">
      <c r="A85" s="4" t="s">
        <v>166</v>
      </c>
      <c r="B85" s="4" t="s">
        <v>367</v>
      </c>
    </row>
    <row r="86" customFormat="false" ht="15" hidden="false" customHeight="false" outlineLevel="0" collapsed="false">
      <c r="A86" s="4" t="s">
        <v>167</v>
      </c>
      <c r="B86" s="4" t="s">
        <v>370</v>
      </c>
    </row>
    <row r="87" customFormat="false" ht="15" hidden="false" customHeight="false" outlineLevel="0" collapsed="false">
      <c r="A87" s="4" t="s">
        <v>168</v>
      </c>
      <c r="B87" s="4" t="s">
        <v>368</v>
      </c>
    </row>
    <row r="88" customFormat="false" ht="15" hidden="false" customHeight="false" outlineLevel="0" collapsed="false">
      <c r="A88" s="4" t="s">
        <v>169</v>
      </c>
      <c r="B88" s="4" t="s">
        <v>368</v>
      </c>
    </row>
    <row r="89" customFormat="false" ht="15" hidden="false" customHeight="false" outlineLevel="0" collapsed="false">
      <c r="A89" s="4" t="s">
        <v>170</v>
      </c>
      <c r="B89" s="4" t="s">
        <v>366</v>
      </c>
    </row>
    <row r="90" customFormat="false" ht="15" hidden="false" customHeight="false" outlineLevel="0" collapsed="false">
      <c r="A90" s="4" t="s">
        <v>171</v>
      </c>
      <c r="B90" s="4" t="s">
        <v>368</v>
      </c>
    </row>
    <row r="91" customFormat="false" ht="15" hidden="false" customHeight="false" outlineLevel="0" collapsed="false">
      <c r="A91" s="4" t="s">
        <v>172</v>
      </c>
      <c r="B91" s="4" t="s">
        <v>372</v>
      </c>
    </row>
    <row r="92" customFormat="false" ht="15" hidden="false" customHeight="false" outlineLevel="0" collapsed="false">
      <c r="A92" s="4" t="s">
        <v>173</v>
      </c>
      <c r="B92" s="4" t="s">
        <v>372</v>
      </c>
    </row>
    <row r="93" customFormat="false" ht="15" hidden="false" customHeight="false" outlineLevel="0" collapsed="false">
      <c r="A93" s="4" t="s">
        <v>174</v>
      </c>
      <c r="B93" s="4" t="s">
        <v>368</v>
      </c>
    </row>
    <row r="94" customFormat="false" ht="15" hidden="false" customHeight="false" outlineLevel="0" collapsed="false">
      <c r="A94" s="4" t="s">
        <v>175</v>
      </c>
      <c r="B94" s="4" t="s">
        <v>372</v>
      </c>
    </row>
    <row r="95" customFormat="false" ht="15" hidden="false" customHeight="false" outlineLevel="0" collapsed="false">
      <c r="A95" s="4" t="s">
        <v>176</v>
      </c>
      <c r="B95" s="4" t="s">
        <v>368</v>
      </c>
    </row>
    <row r="96" customFormat="false" ht="15" hidden="false" customHeight="false" outlineLevel="0" collapsed="false">
      <c r="A96" s="4" t="s">
        <v>177</v>
      </c>
      <c r="B96" s="4" t="s">
        <v>367</v>
      </c>
    </row>
    <row r="97" customFormat="false" ht="15" hidden="false" customHeight="false" outlineLevel="0" collapsed="false">
      <c r="A97" s="4" t="s">
        <v>178</v>
      </c>
      <c r="B97" s="4" t="s">
        <v>367</v>
      </c>
    </row>
    <row r="98" customFormat="false" ht="15" hidden="false" customHeight="false" outlineLevel="0" collapsed="false">
      <c r="A98" s="4" t="s">
        <v>179</v>
      </c>
      <c r="B98" s="4" t="s">
        <v>371</v>
      </c>
    </row>
    <row r="99" customFormat="false" ht="15" hidden="false" customHeight="false" outlineLevel="0" collapsed="false">
      <c r="A99" s="4" t="s">
        <v>180</v>
      </c>
      <c r="B99" s="4" t="s">
        <v>366</v>
      </c>
    </row>
    <row r="100" customFormat="false" ht="15" hidden="false" customHeight="false" outlineLevel="0" collapsed="false">
      <c r="A100" s="4" t="s">
        <v>181</v>
      </c>
      <c r="B100" s="4" t="s">
        <v>371</v>
      </c>
    </row>
    <row r="101" customFormat="false" ht="15" hidden="false" customHeight="false" outlineLevel="0" collapsed="false">
      <c r="A101" s="4" t="s">
        <v>182</v>
      </c>
      <c r="B101" s="4" t="s">
        <v>369</v>
      </c>
    </row>
    <row r="102" customFormat="false" ht="15" hidden="false" customHeight="false" outlineLevel="0" collapsed="false">
      <c r="A102" s="4" t="s">
        <v>183</v>
      </c>
      <c r="B102" s="4" t="s">
        <v>367</v>
      </c>
    </row>
    <row r="103" customFormat="false" ht="15" hidden="false" customHeight="false" outlineLevel="0" collapsed="false">
      <c r="A103" s="4" t="s">
        <v>184</v>
      </c>
      <c r="B103" s="4" t="s">
        <v>367</v>
      </c>
    </row>
    <row r="104" customFormat="false" ht="15" hidden="false" customHeight="false" outlineLevel="0" collapsed="false">
      <c r="A104" s="4" t="s">
        <v>185</v>
      </c>
      <c r="B104" s="4" t="s">
        <v>367</v>
      </c>
    </row>
    <row r="105" customFormat="false" ht="15" hidden="false" customHeight="false" outlineLevel="0" collapsed="false">
      <c r="A105" s="4" t="s">
        <v>186</v>
      </c>
      <c r="B105" s="4" t="s">
        <v>367</v>
      </c>
    </row>
    <row r="106" customFormat="false" ht="15" hidden="false" customHeight="false" outlineLevel="0" collapsed="false">
      <c r="A106" s="4" t="s">
        <v>187</v>
      </c>
      <c r="B106" s="4" t="s">
        <v>368</v>
      </c>
    </row>
    <row r="107" customFormat="false" ht="15" hidden="false" customHeight="false" outlineLevel="0" collapsed="false">
      <c r="A107" s="4" t="s">
        <v>188</v>
      </c>
      <c r="B107" s="4" t="s">
        <v>366</v>
      </c>
    </row>
    <row r="108" customFormat="false" ht="15" hidden="false" customHeight="false" outlineLevel="0" collapsed="false">
      <c r="A108" s="4" t="s">
        <v>189</v>
      </c>
      <c r="B108" s="4" t="s">
        <v>369</v>
      </c>
    </row>
    <row r="109" customFormat="false" ht="15" hidden="false" customHeight="false" outlineLevel="0" collapsed="false">
      <c r="A109" s="4" t="s">
        <v>190</v>
      </c>
      <c r="B109" s="4" t="s">
        <v>367</v>
      </c>
    </row>
    <row r="110" customFormat="false" ht="15" hidden="false" customHeight="false" outlineLevel="0" collapsed="false">
      <c r="A110" s="4" t="s">
        <v>191</v>
      </c>
      <c r="B110" s="4" t="s">
        <v>372</v>
      </c>
    </row>
    <row r="111" customFormat="false" ht="15" hidden="false" customHeight="false" outlineLevel="0" collapsed="false">
      <c r="A111" s="4" t="s">
        <v>192</v>
      </c>
      <c r="B111" s="4" t="s">
        <v>366</v>
      </c>
    </row>
    <row r="112" customFormat="false" ht="15" hidden="false" customHeight="false" outlineLevel="0" collapsed="false">
      <c r="A112" s="4" t="s">
        <v>193</v>
      </c>
      <c r="B112" s="4" t="s">
        <v>369</v>
      </c>
    </row>
    <row r="113" customFormat="false" ht="15" hidden="false" customHeight="false" outlineLevel="0" collapsed="false">
      <c r="A113" s="4" t="s">
        <v>194</v>
      </c>
      <c r="B113" s="4" t="s">
        <v>367</v>
      </c>
    </row>
    <row r="114" customFormat="false" ht="15" hidden="false" customHeight="false" outlineLevel="0" collapsed="false">
      <c r="A114" s="4" t="s">
        <v>195</v>
      </c>
      <c r="B114" s="4" t="s">
        <v>366</v>
      </c>
    </row>
    <row r="115" customFormat="false" ht="15" hidden="false" customHeight="false" outlineLevel="0" collapsed="false">
      <c r="A115" s="4" t="s">
        <v>196</v>
      </c>
      <c r="B115" s="4" t="s">
        <v>367</v>
      </c>
    </row>
    <row r="116" customFormat="false" ht="15" hidden="false" customHeight="false" outlineLevel="0" collapsed="false">
      <c r="A116" s="4" t="s">
        <v>197</v>
      </c>
      <c r="B116" s="4" t="s">
        <v>369</v>
      </c>
    </row>
    <row r="117" customFormat="false" ht="15" hidden="false" customHeight="false" outlineLevel="0" collapsed="false">
      <c r="A117" s="4" t="s">
        <v>198</v>
      </c>
      <c r="B117" s="4" t="s">
        <v>372</v>
      </c>
    </row>
    <row r="118" customFormat="false" ht="15" hidden="false" customHeight="false" outlineLevel="0" collapsed="false">
      <c r="A118" s="4" t="s">
        <v>199</v>
      </c>
      <c r="B118" s="4" t="s">
        <v>372</v>
      </c>
    </row>
    <row r="119" customFormat="false" ht="15" hidden="false" customHeight="false" outlineLevel="0" collapsed="false">
      <c r="A119" s="4" t="s">
        <v>200</v>
      </c>
      <c r="B119" s="4" t="s">
        <v>372</v>
      </c>
    </row>
    <row r="120" customFormat="false" ht="15" hidden="false" customHeight="false" outlineLevel="0" collapsed="false">
      <c r="A120" s="4" t="s">
        <v>201</v>
      </c>
      <c r="B120" s="4" t="s">
        <v>367</v>
      </c>
    </row>
    <row r="121" customFormat="false" ht="15" hidden="false" customHeight="false" outlineLevel="0" collapsed="false">
      <c r="A121" s="4" t="s">
        <v>202</v>
      </c>
      <c r="B121" s="4" t="s">
        <v>367</v>
      </c>
    </row>
    <row r="122" customFormat="false" ht="15" hidden="false" customHeight="false" outlineLevel="0" collapsed="false">
      <c r="A122" s="4" t="s">
        <v>203</v>
      </c>
      <c r="B122" s="4" t="s">
        <v>367</v>
      </c>
    </row>
    <row r="123" customFormat="false" ht="15" hidden="false" customHeight="false" outlineLevel="0" collapsed="false">
      <c r="A123" s="4" t="s">
        <v>204</v>
      </c>
      <c r="B123" s="4" t="s">
        <v>372</v>
      </c>
    </row>
    <row r="124" customFormat="false" ht="15" hidden="false" customHeight="false" outlineLevel="0" collapsed="false">
      <c r="A124" s="4" t="s">
        <v>205</v>
      </c>
      <c r="B124" s="4" t="s">
        <v>372</v>
      </c>
    </row>
    <row r="125" customFormat="false" ht="15" hidden="false" customHeight="false" outlineLevel="0" collapsed="false">
      <c r="A125" s="4" t="s">
        <v>206</v>
      </c>
      <c r="B125" s="4" t="s">
        <v>371</v>
      </c>
    </row>
    <row r="126" customFormat="false" ht="15" hidden="false" customHeight="false" outlineLevel="0" collapsed="false">
      <c r="A126" s="4" t="s">
        <v>207</v>
      </c>
      <c r="B126" s="4" t="s">
        <v>371</v>
      </c>
    </row>
    <row r="127" customFormat="false" ht="15" hidden="false" customHeight="false" outlineLevel="0" collapsed="false">
      <c r="A127" s="4" t="s">
        <v>208</v>
      </c>
      <c r="B127" s="4" t="s">
        <v>372</v>
      </c>
    </row>
    <row r="128" customFormat="false" ht="15" hidden="false" customHeight="false" outlineLevel="0" collapsed="false">
      <c r="A128" s="4" t="s">
        <v>209</v>
      </c>
      <c r="B128" s="4" t="s">
        <v>367</v>
      </c>
    </row>
    <row r="129" customFormat="false" ht="15" hidden="false" customHeight="false" outlineLevel="0" collapsed="false">
      <c r="A129" s="4" t="s">
        <v>210</v>
      </c>
      <c r="B129" s="4" t="s">
        <v>366</v>
      </c>
    </row>
    <row r="130" customFormat="false" ht="15" hidden="false" customHeight="false" outlineLevel="0" collapsed="false">
      <c r="A130" s="4" t="s">
        <v>211</v>
      </c>
      <c r="B130" s="4" t="s">
        <v>368</v>
      </c>
    </row>
    <row r="131" customFormat="false" ht="15" hidden="false" customHeight="false" outlineLevel="0" collapsed="false">
      <c r="A131" s="4" t="s">
        <v>212</v>
      </c>
      <c r="B131" s="4" t="s">
        <v>372</v>
      </c>
    </row>
    <row r="132" customFormat="false" ht="15" hidden="false" customHeight="false" outlineLevel="0" collapsed="false">
      <c r="A132" s="4" t="s">
        <v>213</v>
      </c>
      <c r="B132" s="4" t="s">
        <v>372</v>
      </c>
    </row>
    <row r="133" customFormat="false" ht="15" hidden="false" customHeight="false" outlineLevel="0" collapsed="false">
      <c r="A133" s="4" t="s">
        <v>214</v>
      </c>
      <c r="B133" s="4" t="s">
        <v>372</v>
      </c>
    </row>
    <row r="134" customFormat="false" ht="15" hidden="false" customHeight="false" outlineLevel="0" collapsed="false">
      <c r="A134" s="4" t="s">
        <v>215</v>
      </c>
      <c r="B134" s="4" t="s">
        <v>368</v>
      </c>
    </row>
    <row r="135" customFormat="false" ht="15" hidden="false" customHeight="false" outlineLevel="0" collapsed="false">
      <c r="A135" s="4" t="s">
        <v>216</v>
      </c>
      <c r="B135" s="4" t="s">
        <v>366</v>
      </c>
    </row>
    <row r="136" customFormat="false" ht="15" hidden="false" customHeight="false" outlineLevel="0" collapsed="false">
      <c r="A136" s="4" t="s">
        <v>217</v>
      </c>
      <c r="B136" s="4" t="s">
        <v>367</v>
      </c>
    </row>
    <row r="137" customFormat="false" ht="15" hidden="false" customHeight="false" outlineLevel="0" collapsed="false">
      <c r="A137" s="4" t="s">
        <v>218</v>
      </c>
      <c r="B137" s="4" t="s">
        <v>366</v>
      </c>
    </row>
    <row r="138" customFormat="false" ht="15" hidden="false" customHeight="false" outlineLevel="0" collapsed="false">
      <c r="A138" s="4" t="s">
        <v>219</v>
      </c>
      <c r="B138" s="4" t="s">
        <v>367</v>
      </c>
    </row>
    <row r="139" customFormat="false" ht="15" hidden="false" customHeight="false" outlineLevel="0" collapsed="false">
      <c r="A139" s="4" t="s">
        <v>220</v>
      </c>
      <c r="B139" s="4" t="s">
        <v>368</v>
      </c>
    </row>
    <row r="140" customFormat="false" ht="15" hidden="false" customHeight="false" outlineLevel="0" collapsed="false">
      <c r="A140" s="4" t="s">
        <v>221</v>
      </c>
      <c r="B140" s="4" t="s">
        <v>369</v>
      </c>
    </row>
    <row r="141" customFormat="false" ht="15" hidden="false" customHeight="false" outlineLevel="0" collapsed="false">
      <c r="A141" s="4" t="s">
        <v>222</v>
      </c>
      <c r="B141" s="4" t="s">
        <v>372</v>
      </c>
    </row>
    <row r="142" customFormat="false" ht="15" hidden="false" customHeight="false" outlineLevel="0" collapsed="false">
      <c r="A142" s="4" t="s">
        <v>223</v>
      </c>
      <c r="B142" s="4" t="s">
        <v>366</v>
      </c>
    </row>
    <row r="143" customFormat="false" ht="15" hidden="false" customHeight="false" outlineLevel="0" collapsed="false">
      <c r="A143" s="4" t="s">
        <v>224</v>
      </c>
      <c r="B143" s="4" t="s">
        <v>372</v>
      </c>
    </row>
    <row r="144" customFormat="false" ht="15" hidden="false" customHeight="false" outlineLevel="0" collapsed="false">
      <c r="A144" s="4" t="s">
        <v>225</v>
      </c>
      <c r="B144" s="4" t="s">
        <v>366</v>
      </c>
    </row>
    <row r="145" customFormat="false" ht="15" hidden="false" customHeight="false" outlineLevel="0" collapsed="false">
      <c r="A145" s="4" t="s">
        <v>226</v>
      </c>
      <c r="B145" s="4" t="s">
        <v>371</v>
      </c>
    </row>
    <row r="146" customFormat="false" ht="15" hidden="false" customHeight="false" outlineLevel="0" collapsed="false">
      <c r="A146" s="4" t="s">
        <v>227</v>
      </c>
      <c r="B146" s="4" t="s">
        <v>367</v>
      </c>
    </row>
    <row r="147" customFormat="false" ht="15" hidden="false" customHeight="false" outlineLevel="0" collapsed="false">
      <c r="A147" s="4" t="s">
        <v>228</v>
      </c>
      <c r="B147" s="4" t="s">
        <v>366</v>
      </c>
    </row>
    <row r="148" customFormat="false" ht="15" hidden="false" customHeight="false" outlineLevel="0" collapsed="false">
      <c r="A148" s="4" t="s">
        <v>229</v>
      </c>
      <c r="B148" s="4" t="s">
        <v>366</v>
      </c>
    </row>
    <row r="149" customFormat="false" ht="15" hidden="false" customHeight="false" outlineLevel="0" collapsed="false">
      <c r="A149" s="4" t="s">
        <v>230</v>
      </c>
      <c r="B149" s="4" t="s">
        <v>368</v>
      </c>
    </row>
    <row r="150" customFormat="false" ht="15" hidden="false" customHeight="false" outlineLevel="0" collapsed="false">
      <c r="A150" s="4" t="s">
        <v>231</v>
      </c>
      <c r="B150" s="4" t="s">
        <v>372</v>
      </c>
    </row>
    <row r="151" customFormat="false" ht="15" hidden="false" customHeight="false" outlineLevel="0" collapsed="false">
      <c r="A151" s="4" t="s">
        <v>232</v>
      </c>
      <c r="B151" s="4" t="s">
        <v>372</v>
      </c>
    </row>
    <row r="152" customFormat="false" ht="15" hidden="false" customHeight="false" outlineLevel="0" collapsed="false">
      <c r="A152" s="4" t="s">
        <v>233</v>
      </c>
      <c r="B152" s="4" t="s">
        <v>366</v>
      </c>
    </row>
    <row r="153" customFormat="false" ht="15" hidden="false" customHeight="false" outlineLevel="0" collapsed="false">
      <c r="A153" s="4" t="s">
        <v>234</v>
      </c>
      <c r="B153" s="4" t="s">
        <v>367</v>
      </c>
    </row>
    <row r="154" customFormat="false" ht="15" hidden="false" customHeight="false" outlineLevel="0" collapsed="false">
      <c r="A154" s="4" t="s">
        <v>235</v>
      </c>
      <c r="B154" s="4" t="s">
        <v>366</v>
      </c>
    </row>
    <row r="155" customFormat="false" ht="15" hidden="false" customHeight="false" outlineLevel="0" collapsed="false">
      <c r="A155" s="4" t="s">
        <v>236</v>
      </c>
      <c r="B155" s="4" t="s">
        <v>367</v>
      </c>
    </row>
    <row r="156" customFormat="false" ht="15" hidden="false" customHeight="false" outlineLevel="0" collapsed="false">
      <c r="A156" s="4" t="s">
        <v>237</v>
      </c>
      <c r="B156" s="4" t="s">
        <v>369</v>
      </c>
    </row>
    <row r="157" customFormat="false" ht="15" hidden="false" customHeight="false" outlineLevel="0" collapsed="false">
      <c r="A157" s="4" t="s">
        <v>238</v>
      </c>
      <c r="B157" s="4" t="s">
        <v>371</v>
      </c>
    </row>
    <row r="158" customFormat="false" ht="15" hidden="false" customHeight="false" outlineLevel="0" collapsed="false">
      <c r="A158" s="4" t="s">
        <v>239</v>
      </c>
      <c r="B158" s="4" t="s">
        <v>366</v>
      </c>
    </row>
    <row r="159" customFormat="false" ht="15" hidden="false" customHeight="false" outlineLevel="0" collapsed="false">
      <c r="A159" s="4" t="s">
        <v>240</v>
      </c>
      <c r="B159" s="4" t="s">
        <v>368</v>
      </c>
    </row>
    <row r="160" customFormat="false" ht="15" hidden="false" customHeight="false" outlineLevel="0" collapsed="false">
      <c r="A160" s="4" t="s">
        <v>241</v>
      </c>
      <c r="B160" s="4" t="s">
        <v>366</v>
      </c>
    </row>
    <row r="161" customFormat="false" ht="15" hidden="false" customHeight="false" outlineLevel="0" collapsed="false">
      <c r="A161" s="4" t="s">
        <v>242</v>
      </c>
      <c r="B161" s="4" t="s">
        <v>368</v>
      </c>
    </row>
    <row r="162" customFormat="false" ht="15" hidden="false" customHeight="false" outlineLevel="0" collapsed="false">
      <c r="A162" s="4" t="s">
        <v>243</v>
      </c>
      <c r="B162" s="4" t="s">
        <v>368</v>
      </c>
    </row>
    <row r="163" customFormat="false" ht="15" hidden="false" customHeight="false" outlineLevel="0" collapsed="false">
      <c r="A163" s="4" t="s">
        <v>244</v>
      </c>
      <c r="B163" s="4" t="s">
        <v>371</v>
      </c>
    </row>
    <row r="164" customFormat="false" ht="15" hidden="false" customHeight="false" outlineLevel="0" collapsed="false">
      <c r="A164" s="4" t="s">
        <v>245</v>
      </c>
      <c r="B164" s="4" t="s">
        <v>367</v>
      </c>
    </row>
    <row r="165" customFormat="false" ht="15" hidden="false" customHeight="false" outlineLevel="0" collapsed="false">
      <c r="A165" s="4" t="s">
        <v>246</v>
      </c>
      <c r="B165" s="4" t="s">
        <v>367</v>
      </c>
    </row>
    <row r="166" customFormat="false" ht="15" hidden="false" customHeight="false" outlineLevel="0" collapsed="false">
      <c r="A166" s="4" t="s">
        <v>247</v>
      </c>
      <c r="B166" s="4" t="s">
        <v>368</v>
      </c>
    </row>
    <row r="167" customFormat="false" ht="15" hidden="false" customHeight="false" outlineLevel="0" collapsed="false">
      <c r="A167" s="4" t="s">
        <v>248</v>
      </c>
      <c r="B167" s="4" t="s">
        <v>367</v>
      </c>
    </row>
    <row r="168" customFormat="false" ht="15" hidden="false" customHeight="false" outlineLevel="0" collapsed="false">
      <c r="A168" s="4" t="s">
        <v>249</v>
      </c>
      <c r="B168" s="4" t="s">
        <v>366</v>
      </c>
    </row>
    <row r="169" customFormat="false" ht="15" hidden="false" customHeight="false" outlineLevel="0" collapsed="false">
      <c r="A169" s="4" t="s">
        <v>250</v>
      </c>
      <c r="B169" s="4" t="s">
        <v>367</v>
      </c>
    </row>
    <row r="170" customFormat="false" ht="15" hidden="false" customHeight="false" outlineLevel="0" collapsed="false">
      <c r="A170" s="4" t="s">
        <v>251</v>
      </c>
      <c r="B170" s="4" t="s">
        <v>372</v>
      </c>
    </row>
    <row r="171" customFormat="false" ht="15" hidden="false" customHeight="false" outlineLevel="0" collapsed="false">
      <c r="A171" s="4" t="s">
        <v>252</v>
      </c>
      <c r="B171" s="4" t="s">
        <v>367</v>
      </c>
    </row>
    <row r="172" customFormat="false" ht="15" hidden="false" customHeight="false" outlineLevel="0" collapsed="false">
      <c r="A172" s="4" t="s">
        <v>253</v>
      </c>
      <c r="B172" s="4" t="s">
        <v>367</v>
      </c>
    </row>
    <row r="173" customFormat="false" ht="15" hidden="false" customHeight="false" outlineLevel="0" collapsed="false">
      <c r="A173" s="4" t="s">
        <v>254</v>
      </c>
      <c r="B173" s="4" t="s">
        <v>372</v>
      </c>
    </row>
    <row r="174" customFormat="false" ht="15" hidden="false" customHeight="false" outlineLevel="0" collapsed="false">
      <c r="A174" s="4" t="s">
        <v>255</v>
      </c>
      <c r="B174" s="4" t="s">
        <v>368</v>
      </c>
    </row>
    <row r="175" customFormat="false" ht="15" hidden="false" customHeight="false" outlineLevel="0" collapsed="false">
      <c r="A175" s="4" t="s">
        <v>256</v>
      </c>
      <c r="B175" s="4" t="s">
        <v>372</v>
      </c>
    </row>
    <row r="176" customFormat="false" ht="15" hidden="false" customHeight="false" outlineLevel="0" collapsed="false">
      <c r="A176" s="4" t="s">
        <v>257</v>
      </c>
      <c r="B176" s="4" t="s">
        <v>368</v>
      </c>
    </row>
    <row r="177" customFormat="false" ht="15" hidden="false" customHeight="false" outlineLevel="0" collapsed="false">
      <c r="A177" s="4" t="s">
        <v>258</v>
      </c>
      <c r="B177" s="4" t="s">
        <v>368</v>
      </c>
    </row>
    <row r="178" customFormat="false" ht="15" hidden="false" customHeight="false" outlineLevel="0" collapsed="false">
      <c r="A178" s="4" t="s">
        <v>259</v>
      </c>
      <c r="B178" s="4" t="s">
        <v>368</v>
      </c>
    </row>
    <row r="179" customFormat="false" ht="15" hidden="false" customHeight="false" outlineLevel="0" collapsed="false">
      <c r="A179" s="4" t="s">
        <v>260</v>
      </c>
      <c r="B179" s="4" t="s">
        <v>370</v>
      </c>
    </row>
    <row r="180" customFormat="false" ht="15" hidden="false" customHeight="false" outlineLevel="0" collapsed="false">
      <c r="A180" s="4" t="s">
        <v>261</v>
      </c>
      <c r="B180" s="4" t="s">
        <v>368</v>
      </c>
    </row>
    <row r="181" customFormat="false" ht="15" hidden="false" customHeight="false" outlineLevel="0" collapsed="false">
      <c r="A181" s="4" t="s">
        <v>262</v>
      </c>
      <c r="B181" s="4" t="s">
        <v>366</v>
      </c>
    </row>
    <row r="182" customFormat="false" ht="15" hidden="false" customHeight="false" outlineLevel="0" collapsed="false">
      <c r="A182" s="4" t="s">
        <v>263</v>
      </c>
      <c r="B182" s="4" t="s">
        <v>367</v>
      </c>
    </row>
    <row r="183" customFormat="false" ht="15" hidden="false" customHeight="false" outlineLevel="0" collapsed="false">
      <c r="A183" s="4" t="s">
        <v>264</v>
      </c>
      <c r="B183" s="4" t="s">
        <v>372</v>
      </c>
    </row>
    <row r="184" customFormat="false" ht="15" hidden="false" customHeight="false" outlineLevel="0" collapsed="false">
      <c r="A184" s="4" t="s">
        <v>265</v>
      </c>
      <c r="B184" s="4" t="s">
        <v>367</v>
      </c>
    </row>
    <row r="185" customFormat="false" ht="15" hidden="false" customHeight="false" outlineLevel="0" collapsed="false">
      <c r="A185" s="4" t="s">
        <v>266</v>
      </c>
      <c r="B185" s="4" t="s">
        <v>372</v>
      </c>
    </row>
    <row r="186" customFormat="false" ht="15" hidden="false" customHeight="false" outlineLevel="0" collapsed="false">
      <c r="A186" s="4" t="s">
        <v>267</v>
      </c>
      <c r="B186" s="4" t="s">
        <v>367</v>
      </c>
    </row>
    <row r="187" customFormat="false" ht="15" hidden="false" customHeight="false" outlineLevel="0" collapsed="false">
      <c r="A187" s="4" t="s">
        <v>268</v>
      </c>
      <c r="B187" s="4" t="s">
        <v>366</v>
      </c>
    </row>
    <row r="188" customFormat="false" ht="15" hidden="false" customHeight="false" outlineLevel="0" collapsed="false">
      <c r="A188" s="4" t="s">
        <v>269</v>
      </c>
      <c r="B188" s="4" t="s">
        <v>372</v>
      </c>
    </row>
    <row r="189" customFormat="false" ht="15" hidden="false" customHeight="false" outlineLevel="0" collapsed="false">
      <c r="A189" s="4" t="s">
        <v>270</v>
      </c>
      <c r="B189" s="4" t="s">
        <v>366</v>
      </c>
    </row>
    <row r="190" customFormat="false" ht="15" hidden="false" customHeight="false" outlineLevel="0" collapsed="false">
      <c r="A190" s="4" t="s">
        <v>271</v>
      </c>
      <c r="B190" s="4" t="s">
        <v>368</v>
      </c>
    </row>
    <row r="191" customFormat="false" ht="15" hidden="false" customHeight="false" outlineLevel="0" collapsed="false">
      <c r="A191" s="4" t="s">
        <v>272</v>
      </c>
      <c r="B191" s="4" t="s">
        <v>367</v>
      </c>
    </row>
    <row r="192" customFormat="false" ht="15" hidden="false" customHeight="false" outlineLevel="0" collapsed="false">
      <c r="A192" s="4" t="s">
        <v>273</v>
      </c>
      <c r="B192" s="4" t="s">
        <v>367</v>
      </c>
    </row>
    <row r="193" customFormat="false" ht="15" hidden="false" customHeight="false" outlineLevel="0" collapsed="false">
      <c r="A193" s="4" t="s">
        <v>274</v>
      </c>
      <c r="B193" s="4" t="s">
        <v>366</v>
      </c>
    </row>
    <row r="194" customFormat="false" ht="15" hidden="false" customHeight="false" outlineLevel="0" collapsed="false">
      <c r="A194" s="4" t="s">
        <v>275</v>
      </c>
      <c r="B194" s="4" t="s">
        <v>372</v>
      </c>
    </row>
    <row r="195" customFormat="false" ht="15" hidden="false" customHeight="false" outlineLevel="0" collapsed="false">
      <c r="A195" s="4" t="s">
        <v>276</v>
      </c>
      <c r="B195" s="4" t="s">
        <v>372</v>
      </c>
    </row>
    <row r="196" customFormat="false" ht="15" hidden="false" customHeight="false" outlineLevel="0" collapsed="false">
      <c r="A196" s="4" t="s">
        <v>277</v>
      </c>
      <c r="B196" s="4" t="s">
        <v>372</v>
      </c>
    </row>
    <row r="197" customFormat="false" ht="15" hidden="false" customHeight="false" outlineLevel="0" collapsed="false">
      <c r="A197" s="4" t="s">
        <v>278</v>
      </c>
      <c r="B197" s="4" t="s">
        <v>367</v>
      </c>
    </row>
    <row r="198" customFormat="false" ht="15" hidden="false" customHeight="false" outlineLevel="0" collapsed="false">
      <c r="A198" s="4" t="s">
        <v>279</v>
      </c>
      <c r="B198" s="4" t="s">
        <v>371</v>
      </c>
    </row>
    <row r="199" customFormat="false" ht="15" hidden="false" customHeight="false" outlineLevel="0" collapsed="false">
      <c r="A199" s="4" t="s">
        <v>280</v>
      </c>
      <c r="B199" s="4" t="s">
        <v>369</v>
      </c>
    </row>
    <row r="200" customFormat="false" ht="15" hidden="false" customHeight="false" outlineLevel="0" collapsed="false">
      <c r="A200" s="4" t="s">
        <v>281</v>
      </c>
      <c r="B200" s="4" t="s">
        <v>368</v>
      </c>
    </row>
    <row r="201" customFormat="false" ht="15" hidden="false" customHeight="false" outlineLevel="0" collapsed="false">
      <c r="A201" s="4" t="s">
        <v>282</v>
      </c>
      <c r="B201" s="4" t="s">
        <v>367</v>
      </c>
    </row>
    <row r="202" customFormat="false" ht="15" hidden="false" customHeight="false" outlineLevel="0" collapsed="false">
      <c r="A202" s="4" t="s">
        <v>283</v>
      </c>
      <c r="B202" s="4" t="s">
        <v>367</v>
      </c>
    </row>
    <row r="203" customFormat="false" ht="15" hidden="false" customHeight="false" outlineLevel="0" collapsed="false">
      <c r="A203" s="4" t="s">
        <v>284</v>
      </c>
      <c r="B203" s="4" t="s">
        <v>369</v>
      </c>
    </row>
    <row r="204" customFormat="false" ht="15" hidden="false" customHeight="false" outlineLevel="0" collapsed="false">
      <c r="A204" s="4" t="s">
        <v>285</v>
      </c>
      <c r="B204" s="4" t="s">
        <v>367</v>
      </c>
    </row>
    <row r="205" customFormat="false" ht="15" hidden="false" customHeight="false" outlineLevel="0" collapsed="false">
      <c r="A205" s="4" t="s">
        <v>286</v>
      </c>
      <c r="B205" s="4" t="s">
        <v>366</v>
      </c>
    </row>
    <row r="206" customFormat="false" ht="15" hidden="false" customHeight="false" outlineLevel="0" collapsed="false">
      <c r="A206" s="4" t="s">
        <v>287</v>
      </c>
      <c r="B206" s="4" t="s">
        <v>366</v>
      </c>
    </row>
    <row r="207" customFormat="false" ht="15" hidden="false" customHeight="false" outlineLevel="0" collapsed="false">
      <c r="A207" s="4" t="s">
        <v>288</v>
      </c>
      <c r="B207" s="4" t="s">
        <v>372</v>
      </c>
    </row>
    <row r="208" customFormat="false" ht="15" hidden="false" customHeight="false" outlineLevel="0" collapsed="false">
      <c r="A208" s="4" t="s">
        <v>289</v>
      </c>
      <c r="B208" s="4" t="s">
        <v>366</v>
      </c>
    </row>
    <row r="209" customFormat="false" ht="15" hidden="false" customHeight="false" outlineLevel="0" collapsed="false">
      <c r="A209" s="4" t="s">
        <v>290</v>
      </c>
      <c r="B209" s="4" t="s">
        <v>366</v>
      </c>
    </row>
    <row r="210" customFormat="false" ht="15" hidden="false" customHeight="false" outlineLevel="0" collapsed="false">
      <c r="A210" s="4" t="s">
        <v>291</v>
      </c>
      <c r="B210" s="4" t="s">
        <v>368</v>
      </c>
    </row>
    <row r="211" customFormat="false" ht="15" hidden="false" customHeight="false" outlineLevel="0" collapsed="false">
      <c r="A211" s="4" t="s">
        <v>292</v>
      </c>
      <c r="B211" s="4" t="s">
        <v>372</v>
      </c>
    </row>
    <row r="212" customFormat="false" ht="15" hidden="false" customHeight="false" outlineLevel="0" collapsed="false">
      <c r="A212" s="4" t="s">
        <v>293</v>
      </c>
      <c r="B212" s="4" t="s">
        <v>367</v>
      </c>
    </row>
    <row r="213" customFormat="false" ht="15" hidden="false" customHeight="false" outlineLevel="0" collapsed="false">
      <c r="A213" s="4" t="s">
        <v>294</v>
      </c>
      <c r="B213" s="4" t="s">
        <v>367</v>
      </c>
    </row>
    <row r="214" customFormat="false" ht="15" hidden="false" customHeight="false" outlineLevel="0" collapsed="false">
      <c r="A214" s="4" t="s">
        <v>295</v>
      </c>
      <c r="B214" s="4" t="s">
        <v>368</v>
      </c>
    </row>
    <row r="215" customFormat="false" ht="15" hidden="false" customHeight="false" outlineLevel="0" collapsed="false">
      <c r="A215" s="4" t="s">
        <v>296</v>
      </c>
      <c r="B215" s="4" t="s">
        <v>366</v>
      </c>
    </row>
    <row r="216" customFormat="false" ht="15" hidden="false" customHeight="false" outlineLevel="0" collapsed="false">
      <c r="A216" s="4" t="s">
        <v>297</v>
      </c>
      <c r="B216" s="4" t="s">
        <v>372</v>
      </c>
    </row>
    <row r="217" customFormat="false" ht="15" hidden="false" customHeight="false" outlineLevel="0" collapsed="false">
      <c r="A217" s="4" t="s">
        <v>298</v>
      </c>
      <c r="B217" s="4" t="s">
        <v>367</v>
      </c>
    </row>
    <row r="218" customFormat="false" ht="15" hidden="false" customHeight="false" outlineLevel="0" collapsed="false">
      <c r="A218" s="4" t="s">
        <v>299</v>
      </c>
      <c r="B218" s="4" t="s">
        <v>367</v>
      </c>
    </row>
    <row r="219" customFormat="false" ht="15" hidden="false" customHeight="false" outlineLevel="0" collapsed="false">
      <c r="A219" s="4" t="s">
        <v>300</v>
      </c>
      <c r="B219" s="4" t="s">
        <v>367</v>
      </c>
    </row>
    <row r="220" customFormat="false" ht="15" hidden="false" customHeight="false" outlineLevel="0" collapsed="false">
      <c r="A220" s="4" t="s">
        <v>301</v>
      </c>
      <c r="B220" s="4" t="s">
        <v>372</v>
      </c>
    </row>
    <row r="221" customFormat="false" ht="15" hidden="false" customHeight="false" outlineLevel="0" collapsed="false">
      <c r="A221" s="4" t="s">
        <v>375</v>
      </c>
      <c r="B221" s="4" t="s">
        <v>370</v>
      </c>
    </row>
    <row r="222" customFormat="false" ht="15" hidden="false" customHeight="false" outlineLevel="0" collapsed="false">
      <c r="A222" s="4" t="s">
        <v>302</v>
      </c>
      <c r="B222" s="4" t="s">
        <v>370</v>
      </c>
    </row>
    <row r="223" customFormat="false" ht="15" hidden="false" customHeight="false" outlineLevel="0" collapsed="false">
      <c r="A223" s="4" t="s">
        <v>303</v>
      </c>
      <c r="B223" s="4" t="s">
        <v>368</v>
      </c>
    </row>
    <row r="224" customFormat="false" ht="15" hidden="false" customHeight="false" outlineLevel="0" collapsed="false">
      <c r="A224" s="4" t="s">
        <v>304</v>
      </c>
      <c r="B224" s="4" t="s">
        <v>368</v>
      </c>
    </row>
    <row r="225" customFormat="false" ht="15" hidden="false" customHeight="false" outlineLevel="0" collapsed="false">
      <c r="A225" s="4" t="s">
        <v>305</v>
      </c>
      <c r="B225" s="4" t="s">
        <v>367</v>
      </c>
    </row>
    <row r="226" customFormat="false" ht="15" hidden="false" customHeight="false" outlineLevel="0" collapsed="false">
      <c r="A226" s="4" t="s">
        <v>306</v>
      </c>
      <c r="B226" s="4" t="s">
        <v>366</v>
      </c>
    </row>
    <row r="227" customFormat="false" ht="15" hidden="false" customHeight="false" outlineLevel="0" collapsed="false">
      <c r="A227" s="4" t="s">
        <v>307</v>
      </c>
      <c r="B227" s="4" t="s">
        <v>368</v>
      </c>
    </row>
    <row r="228" customFormat="false" ht="15" hidden="false" customHeight="false" outlineLevel="0" collapsed="false">
      <c r="A228" s="4" t="s">
        <v>308</v>
      </c>
      <c r="B228" s="4" t="s">
        <v>366</v>
      </c>
    </row>
    <row r="229" customFormat="false" ht="15" hidden="false" customHeight="false" outlineLevel="0" collapsed="false">
      <c r="A229" s="4" t="s">
        <v>309</v>
      </c>
      <c r="B229" s="4" t="s">
        <v>366</v>
      </c>
    </row>
    <row r="230" customFormat="false" ht="15" hidden="false" customHeight="false" outlineLevel="0" collapsed="false">
      <c r="A230" s="4" t="s">
        <v>310</v>
      </c>
      <c r="B230" s="4" t="s">
        <v>367</v>
      </c>
    </row>
    <row r="231" customFormat="false" ht="15" hidden="false" customHeight="false" outlineLevel="0" collapsed="false">
      <c r="A231" s="4" t="s">
        <v>311</v>
      </c>
      <c r="B231" s="4" t="s">
        <v>367</v>
      </c>
    </row>
    <row r="232" customFormat="false" ht="15" hidden="false" customHeight="false" outlineLevel="0" collapsed="false">
      <c r="A232" s="4" t="s">
        <v>312</v>
      </c>
      <c r="B232" s="4" t="s">
        <v>372</v>
      </c>
    </row>
    <row r="233" customFormat="false" ht="15" hidden="false" customHeight="false" outlineLevel="0" collapsed="false">
      <c r="A233" s="4" t="s">
        <v>313</v>
      </c>
      <c r="B233" s="4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2026-10-21T21:52:23Z</dcterms:created>
  <dc:creator>openpyxl</dc:creator>
  <dc:description/>
  <dc:language>en-US</dc:language>
  <cp:lastModifiedBy/>
  <dcterms:modified xsi:type="dcterms:W3CDTF">2026-10-21T23:52:27Z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